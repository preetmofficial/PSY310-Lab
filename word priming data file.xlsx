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4accda00e23ab5/Desktop/Psychopy/Word priming/"/>
    </mc:Choice>
  </mc:AlternateContent>
  <xr:revisionPtr revIDLastSave="329" documentId="8_{61A7546F-08EB-4570-B462-B09FF07C63FB}" xr6:coauthVersionLast="47" xr6:coauthVersionMax="47" xr10:uidLastSave="{03BE917F-C442-4C7F-BE31-673DD754CFDC}"/>
  <bookViews>
    <workbookView xWindow="-90" yWindow="0" windowWidth="9780" windowHeight="11730" xr2:uid="{1F17ABA8-B392-468C-913D-D281503B7125}"/>
  </bookViews>
  <sheets>
    <sheet name="participant 1" sheetId="1" r:id="rId1"/>
    <sheet name="participant 2" sheetId="2" r:id="rId2"/>
    <sheet name="participant 3" sheetId="3" r:id="rId3"/>
    <sheet name="participant 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7" i="3" l="1"/>
  <c r="E45" i="3"/>
  <c r="F45" i="4"/>
  <c r="F41" i="4"/>
  <c r="F47" i="4" s="1"/>
  <c r="E41" i="3"/>
  <c r="G45" i="2"/>
  <c r="G47" i="2" s="1"/>
  <c r="G41" i="2"/>
  <c r="G44" i="1"/>
  <c r="G40" i="1"/>
  <c r="G46" i="1" l="1"/>
</calcChain>
</file>

<file path=xl/sharedStrings.xml><?xml version="1.0" encoding="utf-8"?>
<sst xmlns="http://schemas.openxmlformats.org/spreadsheetml/2006/main" count="2206" uniqueCount="252">
  <si>
    <t>study_word</t>
  </si>
  <si>
    <t>thisN</t>
  </si>
  <si>
    <t>thisTrialN</t>
  </si>
  <si>
    <t>thisRepN</t>
  </si>
  <si>
    <t>slider.response</t>
  </si>
  <si>
    <t>slider.rt</t>
  </si>
  <si>
    <t>test_word</t>
  </si>
  <si>
    <t>test_textbox.text</t>
  </si>
  <si>
    <t>testmouse.x</t>
  </si>
  <si>
    <t>testmouse.y</t>
  </si>
  <si>
    <t>testmouse.leftButton</t>
  </si>
  <si>
    <t>testmouse.midButton</t>
  </si>
  <si>
    <t>testmouse.rightButton</t>
  </si>
  <si>
    <t>testmouse.time</t>
  </si>
  <si>
    <t>testmouse.clicked_name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</si>
  <si>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</si>
  <si>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</si>
  <si>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</si>
  <si>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</si>
  <si>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</si>
  <si>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</si>
  <si>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</si>
  <si>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</si>
  <si>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</si>
  <si>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</si>
  <si>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</si>
  <si>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</si>
  <si>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</si>
  <si>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</si>
  <si>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</si>
  <si>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</si>
  <si>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</si>
  <si>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TextText.started</t>
  </si>
  <si>
    <t>test_textbox.started</t>
  </si>
  <si>
    <t>submit_text.started</t>
  </si>
  <si>
    <t>testmouse.started</t>
  </si>
  <si>
    <t>Test.stopped</t>
  </si>
  <si>
    <t>trials_2.test_textbox.text</t>
  </si>
  <si>
    <t>trials_2.testmouse.x</t>
  </si>
  <si>
    <t>trials_2.testmouse.y</t>
  </si>
  <si>
    <t>trials_2.testmouse.leftButton</t>
  </si>
  <si>
    <t>trials_2.testmouse.midButton</t>
  </si>
  <si>
    <t>trials_2.testmouse.rightButton</t>
  </si>
  <si>
    <t>trials_2.testmouse.time</t>
  </si>
  <si>
    <t>trials_2.testmouse.clicked_name</t>
  </si>
  <si>
    <t>TextText.stopped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</si>
  <si>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</si>
  <si>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</si>
  <si>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</si>
  <si>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</si>
  <si>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</si>
  <si>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</si>
  <si>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</si>
  <si>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</si>
  <si>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cushion</t>
  </si>
  <si>
    <t>2025-11-02_00h20.52.947</t>
  </si>
  <si>
    <t>Word priming experiment</t>
  </si>
  <si>
    <t>2025.1.1</t>
  </si>
  <si>
    <t>2025-11-02 00h20.58.311755 +0530</t>
  </si>
  <si>
    <t>mouse</t>
  </si>
  <si>
    <t>marble</t>
  </si>
  <si>
    <t>pastry</t>
  </si>
  <si>
    <t>Police</t>
  </si>
  <si>
    <t>keys</t>
  </si>
  <si>
    <t>phone</t>
  </si>
  <si>
    <t>T-shirt</t>
  </si>
  <si>
    <t>chart</t>
  </si>
  <si>
    <t>Case</t>
  </si>
  <si>
    <t>book</t>
  </si>
  <si>
    <t>laptop</t>
  </si>
  <si>
    <t>cruise</t>
  </si>
  <si>
    <t>Poster</t>
  </si>
  <si>
    <t>board</t>
  </si>
  <si>
    <t>p_nc_l</t>
  </si>
  <si>
    <t>pencil</t>
  </si>
  <si>
    <t>[-0.07333333333333333]</t>
  </si>
  <si>
    <t>[-0.30333333333333334]</t>
  </si>
  <si>
    <t>[1]</t>
  </si>
  <si>
    <t>[0]</t>
  </si>
  <si>
    <t>[9.3555583999987]</t>
  </si>
  <si>
    <t>['submit_text']</t>
  </si>
  <si>
    <t>c_m_ra</t>
  </si>
  <si>
    <t>camera</t>
  </si>
  <si>
    <t>[3.6266428000017186]</t>
  </si>
  <si>
    <t>_oo_</t>
  </si>
  <si>
    <t>loop</t>
  </si>
  <si>
    <t>[-0.04833333333333333]</t>
  </si>
  <si>
    <t>[2.696715199999744]</t>
  </si>
  <si>
    <t>prastry</t>
  </si>
  <si>
    <t>[-0.0275]</t>
  </si>
  <si>
    <t>[-0.31583333333333335]</t>
  </si>
  <si>
    <t>[13.678893400006928]</t>
  </si>
  <si>
    <t>l_pt_p</t>
  </si>
  <si>
    <t>[3.79469059999974]</t>
  </si>
  <si>
    <t>_ou_e</t>
  </si>
  <si>
    <t>[8.276397599998745]</t>
  </si>
  <si>
    <t>_o_rd</t>
  </si>
  <si>
    <t>[13.383788200000708]</t>
  </si>
  <si>
    <t>ta_l_</t>
  </si>
  <si>
    <t>tails</t>
  </si>
  <si>
    <t>[6.028525500005344]</t>
  </si>
  <si>
    <t>K_y_</t>
  </si>
  <si>
    <t>[2.8258811999985483]</t>
  </si>
  <si>
    <t>_ho_e</t>
  </si>
  <si>
    <t>shoes</t>
  </si>
  <si>
    <t>[2.7771553000056883]</t>
  </si>
  <si>
    <t>c_s_</t>
  </si>
  <si>
    <t>case</t>
  </si>
  <si>
    <t>[1.9778351999993902]</t>
  </si>
  <si>
    <t>_ru_is_</t>
  </si>
  <si>
    <t>[4.261309699999401]</t>
  </si>
  <si>
    <t>P_st_r</t>
  </si>
  <si>
    <t>[8.44468659999984]</t>
  </si>
  <si>
    <t>_ha_t</t>
  </si>
  <si>
    <t>thaty</t>
  </si>
  <si>
    <t>[-0.011666666666666667]</t>
  </si>
  <si>
    <t>[-0.2916666666666667]</t>
  </si>
  <si>
    <t>[8.046492800000124]</t>
  </si>
  <si>
    <t>c_s_io</t>
  </si>
  <si>
    <t>casaio</t>
  </si>
  <si>
    <t>[-0.043333333333333335]</t>
  </si>
  <si>
    <t>[-0.2791666666666667]</t>
  </si>
  <si>
    <t>[7.576732699999411]</t>
  </si>
  <si>
    <t>_a_bl_</t>
  </si>
  <si>
    <t>[7.2460479000001214]</t>
  </si>
  <si>
    <t>v_s_</t>
  </si>
  <si>
    <t>vase</t>
  </si>
  <si>
    <t>[5.542366100002255]</t>
  </si>
  <si>
    <t>P_li_e</t>
  </si>
  <si>
    <t xml:space="preserve">police
</t>
  </si>
  <si>
    <t>[-0.0425]</t>
  </si>
  <si>
    <t>[-0.295]</t>
  </si>
  <si>
    <t>[6.845066299996688]</t>
  </si>
  <si>
    <t>bo_t_e</t>
  </si>
  <si>
    <t>bottle</t>
  </si>
  <si>
    <t>[2.8099588000040967]</t>
  </si>
  <si>
    <t>T_hi_t</t>
  </si>
  <si>
    <t>tshirt</t>
  </si>
  <si>
    <t>[2.545997699999134]</t>
  </si>
  <si>
    <t>2025-10-16_12h41.08.670</t>
  </si>
  <si>
    <t>2025-10-16 12h41.14.506458 +0530</t>
  </si>
  <si>
    <t>[0.0033333333333333335]</t>
  </si>
  <si>
    <t>[-0.305]</t>
  </si>
  <si>
    <t>[5.2762781999772415]</t>
  </si>
  <si>
    <t>[0.035833333333333335]</t>
  </si>
  <si>
    <t>[-0.31]</t>
  </si>
  <si>
    <t>[4.42540619999636]</t>
  </si>
  <si>
    <t>[16.016626200056635]</t>
  </si>
  <si>
    <t>[14.661096399999224]</t>
  </si>
  <si>
    <t>[0.0225]</t>
  </si>
  <si>
    <t>[11.428489599958993]</t>
  </si>
  <si>
    <t>table</t>
  </si>
  <si>
    <t>[0.028333333333333332]</t>
  </si>
  <si>
    <t>[-0.3258333333333333]</t>
  </si>
  <si>
    <t>[6.126405699993484]</t>
  </si>
  <si>
    <t>[0.006666666666666667]</t>
  </si>
  <si>
    <t>[11.163776999921538]</t>
  </si>
  <si>
    <t>[-0.0008333333333333334]</t>
  </si>
  <si>
    <t>[4.01089839998167]</t>
  </si>
  <si>
    <t>[-0.0016666666666666668]</t>
  </si>
  <si>
    <t>[-0.3]</t>
  </si>
  <si>
    <t>[3.6335172000108287]</t>
  </si>
  <si>
    <t>police</t>
  </si>
  <si>
    <t>[-0.004166666666666667]</t>
  </si>
  <si>
    <t>[-0.2975]</t>
  </si>
  <si>
    <t>[4.077647100086324]</t>
  </si>
  <si>
    <t>[-0.008333333333333333]</t>
  </si>
  <si>
    <t>[4.6164340999675915]</t>
  </si>
  <si>
    <t>[-0.050833333333333335]</t>
  </si>
  <si>
    <t>[-0.31166666666666665]</t>
  </si>
  <si>
    <t>[9.329928299994208]</t>
  </si>
  <si>
    <t>[-0.07166666666666667]</t>
  </si>
  <si>
    <t>[-0.31416666666666665]</t>
  </si>
  <si>
    <t>[3.6452052999520674]</t>
  </si>
  <si>
    <t>[-0.0825]</t>
  </si>
  <si>
    <t>[-0.3075]</t>
  </si>
  <si>
    <t>[6.278068399988115]</t>
  </si>
  <si>
    <t>poster</t>
  </si>
  <si>
    <t>[-0.09333333333333334]</t>
  </si>
  <si>
    <t>[-0.30416666666666664]</t>
  </si>
  <si>
    <t>[10.769837799947709]</t>
  </si>
  <si>
    <t>[10.547632100060582]</t>
  </si>
  <si>
    <t>[-0.035]</t>
  </si>
  <si>
    <t>[-0.2925]</t>
  </si>
  <si>
    <t>[5.072379200020805]</t>
  </si>
  <si>
    <t>[-0.3025]</t>
  </si>
  <si>
    <t>[4.200930399936624]</t>
  </si>
  <si>
    <t>[-0.3125]</t>
  </si>
  <si>
    <t>[13.866594199906103]</t>
  </si>
  <si>
    <t>[10.938878400018439]</t>
  </si>
  <si>
    <t>Pa_tr_</t>
  </si>
  <si>
    <t>_r_is_</t>
  </si>
  <si>
    <t>2025-11-03_00h19.31.980</t>
  </si>
  <si>
    <t>2025-11-03 00h23.41.183150 +0530</t>
  </si>
  <si>
    <t>[-0.07]</t>
  </si>
  <si>
    <t>[4.853086199989775]</t>
  </si>
  <si>
    <t>[4.880685599986464]</t>
  </si>
  <si>
    <t>[4.862434299982851]</t>
  </si>
  <si>
    <t>[4.098193599988008]</t>
  </si>
  <si>
    <t>[5.544389299990144]</t>
  </si>
  <si>
    <t>[4.412905300006969]</t>
  </si>
  <si>
    <t>house</t>
  </si>
  <si>
    <t>[5.36477049998939]</t>
  </si>
  <si>
    <t>vast</t>
  </si>
  <si>
    <t>[9.71082259999821]</t>
  </si>
  <si>
    <t>[7.930246100004297]</t>
  </si>
  <si>
    <t>[12.39471299998695]</t>
  </si>
  <si>
    <t>[4.1479260000051]</t>
  </si>
  <si>
    <t>[3.4948442000022624]</t>
  </si>
  <si>
    <t>[4.195984399993904]</t>
  </si>
  <si>
    <t>[2.9975798999948893]</t>
  </si>
  <si>
    <t>[4.446573200024432]</t>
  </si>
  <si>
    <t>casio</t>
  </si>
  <si>
    <t>[3.0795223000168335]</t>
  </si>
  <si>
    <t>[2.8784217000065837]</t>
  </si>
  <si>
    <t>[3.6632604000042193]</t>
  </si>
  <si>
    <t>hook</t>
  </si>
  <si>
    <t>[6.863587500003632]</t>
  </si>
  <si>
    <t>[9.412304800003767]</t>
  </si>
  <si>
    <t>2025-11-02_20h11.10.675</t>
  </si>
  <si>
    <t>2025-11-02 20h11.16.039200 +0530</t>
  </si>
  <si>
    <t>[-0.01]</t>
  </si>
  <si>
    <t>[-0.31333333333333335]</t>
  </si>
  <si>
    <t>[4.646107199994731]</t>
  </si>
  <si>
    <t>[3.8931770000053803]</t>
  </si>
  <si>
    <t>[5.444944599992596]</t>
  </si>
  <si>
    <t>[5.548770299996249]</t>
  </si>
  <si>
    <t>[5.414509199996246]</t>
  </si>
  <si>
    <t>cassio</t>
  </si>
  <si>
    <t>[5.259823600004893]</t>
  </si>
  <si>
    <t>[4.1117881999962265]</t>
  </si>
  <si>
    <t>[5.2283094999875175]</t>
  </si>
  <si>
    <t>[3.3453184999962104]</t>
  </si>
  <si>
    <t>[13.979313699994236]</t>
  </si>
  <si>
    <t>[5.218651100003626]</t>
  </si>
  <si>
    <t>[4.863193900004262]</t>
  </si>
  <si>
    <t>[9.711089000003994]</t>
  </si>
  <si>
    <t>[3.39573279999604]</t>
  </si>
  <si>
    <t>[3.477004800006398]</t>
  </si>
  <si>
    <t>[7.164706800002023]</t>
  </si>
  <si>
    <t>plaster</t>
  </si>
  <si>
    <t>[7.775957400008338]</t>
  </si>
  <si>
    <t>[3.6092444000096293]</t>
  </si>
  <si>
    <t>[3.961214499999187]</t>
  </si>
  <si>
    <t>[4.1604033000039635]</t>
  </si>
  <si>
    <t>correct (O)</t>
  </si>
  <si>
    <t>correct (N)</t>
  </si>
  <si>
    <t>total</t>
  </si>
  <si>
    <t xml:space="preserve">total </t>
  </si>
  <si>
    <t>proportion (N)</t>
  </si>
  <si>
    <t>proportion(O)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</si>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</sst>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14" fillId="33" borderId="0" xfId="0" applyFont="1" applyFill="1"/>
    <xf numFmtId="0" fontId="14" fillId="0" borderId="0" xfId="0" applyFont="1"/>
    <xf numFmtId="0" fontId="18" fillId="33" borderId="0" xfId="0" applyFont="1" applyFill="1"/>
    <xf numFmtId="0" fontId="18" fillId="0" borderId="0" xfId="0" applyFont="1"/>
    <xf numFmtId="0" fontId="19" fillId="33" borderId="0" xfId="0" applyFont="1" applyFill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089D-F823-4529-99BF-A31C67FF1FEA}">
  <dimension ref="A1:BB46"/>
  <sheetViews>
    <sheetView tabSelected="1" topLeftCell="D30" workbookViewId="0">
      <selection activeCell="J41" sqref="J41"/>
    </sheetView>
  </sheetViews>
  <sheetFormatPr defaultRowHeight="14.5" x14ac:dyDescent="0.35"/>
  <cols>
    <col min="6" max="6" width="12.54296875" customWidth="1"/>
  </cols>
  <sheetData>
    <row r="1" spans="1:5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5">
      <c r="A2" t="s">
        <v>63</v>
      </c>
      <c r="B2">
        <v>0</v>
      </c>
      <c r="C2">
        <v>0</v>
      </c>
      <c r="D2">
        <v>0</v>
      </c>
      <c r="E2">
        <v>1.0133333333333301</v>
      </c>
      <c r="F2">
        <v>2.24658710000221</v>
      </c>
      <c r="P2">
        <v>0</v>
      </c>
      <c r="Q2">
        <v>0</v>
      </c>
      <c r="R2">
        <v>0</v>
      </c>
      <c r="S2">
        <v>13</v>
      </c>
      <c r="X2">
        <v>5.6739499996183398E-2</v>
      </c>
      <c r="Z2">
        <v>3.1738799996673998E-2</v>
      </c>
      <c r="AA2">
        <v>5.6739499996183398E-2</v>
      </c>
      <c r="AB2">
        <v>5.6739499996183398E-2</v>
      </c>
      <c r="AC2">
        <v>2.29473699998925</v>
      </c>
      <c r="AD2">
        <v>1.0133333333333301</v>
      </c>
      <c r="AE2">
        <v>2.24658710000221</v>
      </c>
      <c r="AU2">
        <v>485349</v>
      </c>
      <c r="AV2">
        <v>1</v>
      </c>
      <c r="AW2" t="s">
        <v>219</v>
      </c>
      <c r="AX2" t="s">
        <v>56</v>
      </c>
      <c r="AZ2" t="s">
        <v>57</v>
      </c>
      <c r="BA2">
        <v>60.207740790110201</v>
      </c>
      <c r="BB2" t="s">
        <v>220</v>
      </c>
    </row>
    <row r="3" spans="1:54" x14ac:dyDescent="0.35">
      <c r="A3" t="s">
        <v>64</v>
      </c>
      <c r="B3">
        <v>1</v>
      </c>
      <c r="C3">
        <v>1</v>
      </c>
      <c r="D3">
        <v>0</v>
      </c>
      <c r="E3">
        <v>1.0133333333333301</v>
      </c>
      <c r="F3">
        <v>0.95683699999062799</v>
      </c>
      <c r="P3">
        <v>0</v>
      </c>
      <c r="Q3">
        <v>1</v>
      </c>
      <c r="R3">
        <v>1</v>
      </c>
      <c r="S3">
        <v>2</v>
      </c>
      <c r="X3">
        <v>2.3206645999889499</v>
      </c>
      <c r="Z3">
        <v>2.30538599999272</v>
      </c>
      <c r="AA3">
        <v>2.3206645999889499</v>
      </c>
      <c r="AB3">
        <v>2.3206645999889499</v>
      </c>
      <c r="AC3">
        <v>3.27796419999504</v>
      </c>
      <c r="AD3">
        <v>1.0133333333333301</v>
      </c>
      <c r="AE3">
        <v>0.95683699999062799</v>
      </c>
      <c r="AU3">
        <v>485349</v>
      </c>
      <c r="AV3">
        <v>1</v>
      </c>
      <c r="AW3" t="s">
        <v>219</v>
      </c>
      <c r="AX3" t="s">
        <v>56</v>
      </c>
      <c r="AZ3" t="s">
        <v>57</v>
      </c>
      <c r="BA3">
        <v>60.207740790110201</v>
      </c>
      <c r="BB3" t="s">
        <v>220</v>
      </c>
    </row>
    <row r="4" spans="1:54" x14ac:dyDescent="0.35">
      <c r="A4" t="s">
        <v>62</v>
      </c>
      <c r="B4">
        <v>2</v>
      </c>
      <c r="C4">
        <v>2</v>
      </c>
      <c r="D4">
        <v>0</v>
      </c>
      <c r="E4">
        <v>1.0133333333333301</v>
      </c>
      <c r="F4">
        <v>0.80136140000831801</v>
      </c>
      <c r="P4">
        <v>0</v>
      </c>
      <c r="Q4">
        <v>2</v>
      </c>
      <c r="R4">
        <v>2</v>
      </c>
      <c r="S4">
        <v>12</v>
      </c>
      <c r="X4">
        <v>3.30219309999665</v>
      </c>
      <c r="Z4">
        <v>3.28624409998883</v>
      </c>
      <c r="AA4">
        <v>3.30219309999665</v>
      </c>
      <c r="AB4">
        <v>3.30219309999665</v>
      </c>
      <c r="AC4">
        <v>4.1045496000006096</v>
      </c>
      <c r="AD4">
        <v>1.0133333333333301</v>
      </c>
      <c r="AE4">
        <v>0.80136140000831801</v>
      </c>
      <c r="AU4">
        <v>485349</v>
      </c>
      <c r="AV4">
        <v>1</v>
      </c>
      <c r="AW4" t="s">
        <v>219</v>
      </c>
      <c r="AX4" t="s">
        <v>56</v>
      </c>
      <c r="AZ4" t="s">
        <v>57</v>
      </c>
      <c r="BA4">
        <v>60.207740790110201</v>
      </c>
      <c r="BB4" t="s">
        <v>220</v>
      </c>
    </row>
    <row r="5" spans="1:54" x14ac:dyDescent="0.35">
      <c r="A5" t="s">
        <v>66</v>
      </c>
      <c r="B5">
        <v>3</v>
      </c>
      <c r="C5">
        <v>3</v>
      </c>
      <c r="D5">
        <v>0</v>
      </c>
      <c r="E5">
        <v>1.0133333333333301</v>
      </c>
      <c r="F5">
        <v>0.75798330000543501</v>
      </c>
      <c r="P5">
        <v>0</v>
      </c>
      <c r="Q5">
        <v>3</v>
      </c>
      <c r="R5">
        <v>3</v>
      </c>
      <c r="S5">
        <v>6</v>
      </c>
      <c r="X5">
        <v>4.1277161999896599</v>
      </c>
      <c r="Z5">
        <v>4.1131118999910496</v>
      </c>
      <c r="AA5">
        <v>4.1277161999896599</v>
      </c>
      <c r="AB5">
        <v>4.1277161999896599</v>
      </c>
      <c r="AC5">
        <v>4.8943776999949398</v>
      </c>
      <c r="AD5">
        <v>1.0133333333333301</v>
      </c>
      <c r="AE5">
        <v>0.75798330000543501</v>
      </c>
      <c r="AU5">
        <v>485349</v>
      </c>
      <c r="AV5">
        <v>1</v>
      </c>
      <c r="AW5" t="s">
        <v>219</v>
      </c>
      <c r="AX5" t="s">
        <v>56</v>
      </c>
      <c r="AZ5" t="s">
        <v>57</v>
      </c>
      <c r="BA5">
        <v>60.207740790110201</v>
      </c>
      <c r="BB5" t="s">
        <v>220</v>
      </c>
    </row>
    <row r="6" spans="1:54" x14ac:dyDescent="0.35">
      <c r="A6" t="s">
        <v>69</v>
      </c>
      <c r="B6">
        <v>4</v>
      </c>
      <c r="C6">
        <v>4</v>
      </c>
      <c r="D6">
        <v>0</v>
      </c>
      <c r="E6">
        <v>1.0133333333333301</v>
      </c>
      <c r="F6">
        <v>0.77020860000629898</v>
      </c>
      <c r="P6">
        <v>0</v>
      </c>
      <c r="Q6">
        <v>4</v>
      </c>
      <c r="R6">
        <v>4</v>
      </c>
      <c r="S6">
        <v>5</v>
      </c>
      <c r="X6">
        <v>4.9150501999974896</v>
      </c>
      <c r="Z6">
        <v>4.89991670000017</v>
      </c>
      <c r="AA6">
        <v>4.9150501999974896</v>
      </c>
      <c r="AB6">
        <v>4.9150501999974896</v>
      </c>
      <c r="AC6">
        <v>5.6865377999929398</v>
      </c>
      <c r="AD6">
        <v>1.0133333333333301</v>
      </c>
      <c r="AE6">
        <v>0.77020860000629898</v>
      </c>
      <c r="AU6">
        <v>485349</v>
      </c>
      <c r="AV6">
        <v>1</v>
      </c>
      <c r="AW6" t="s">
        <v>219</v>
      </c>
      <c r="AX6" t="s">
        <v>56</v>
      </c>
      <c r="AZ6" t="s">
        <v>57</v>
      </c>
      <c r="BA6">
        <v>60.207740790110201</v>
      </c>
      <c r="BB6" t="s">
        <v>220</v>
      </c>
    </row>
    <row r="7" spans="1:54" x14ac:dyDescent="0.35">
      <c r="A7" t="s">
        <v>65</v>
      </c>
      <c r="B7">
        <v>5</v>
      </c>
      <c r="C7">
        <v>5</v>
      </c>
      <c r="D7">
        <v>0</v>
      </c>
      <c r="E7">
        <v>1.0133333333333301</v>
      </c>
      <c r="F7">
        <v>0.85581979999551505</v>
      </c>
      <c r="P7">
        <v>0</v>
      </c>
      <c r="Q7">
        <v>5</v>
      </c>
      <c r="R7">
        <v>5</v>
      </c>
      <c r="S7">
        <v>7</v>
      </c>
      <c r="X7">
        <v>5.7127102999947903</v>
      </c>
      <c r="Z7">
        <v>5.6965984999987898</v>
      </c>
      <c r="AA7">
        <v>5.7127102999947903</v>
      </c>
      <c r="AB7">
        <v>5.7127102999947903</v>
      </c>
      <c r="AC7">
        <v>6.5729569999966699</v>
      </c>
      <c r="AD7">
        <v>1.0133333333333301</v>
      </c>
      <c r="AE7">
        <v>0.85581979999551505</v>
      </c>
      <c r="AU7">
        <v>485349</v>
      </c>
      <c r="AV7">
        <v>1</v>
      </c>
      <c r="AW7" t="s">
        <v>219</v>
      </c>
      <c r="AX7" t="s">
        <v>56</v>
      </c>
      <c r="AZ7" t="s">
        <v>57</v>
      </c>
      <c r="BA7">
        <v>60.207740790110201</v>
      </c>
      <c r="BB7" t="s">
        <v>220</v>
      </c>
    </row>
    <row r="8" spans="1:54" x14ac:dyDescent="0.35">
      <c r="A8" t="s">
        <v>68</v>
      </c>
      <c r="B8">
        <v>6</v>
      </c>
      <c r="C8">
        <v>6</v>
      </c>
      <c r="D8">
        <v>0</v>
      </c>
      <c r="E8">
        <v>1.0133333333333301</v>
      </c>
      <c r="F8">
        <v>0.72466069999791205</v>
      </c>
      <c r="P8">
        <v>0</v>
      </c>
      <c r="Q8">
        <v>6</v>
      </c>
      <c r="R8">
        <v>6</v>
      </c>
      <c r="S8">
        <v>0</v>
      </c>
      <c r="X8">
        <v>6.5947947999957197</v>
      </c>
      <c r="Z8">
        <v>6.5784603999927604</v>
      </c>
      <c r="AA8">
        <v>6.5947947999957197</v>
      </c>
      <c r="AB8">
        <v>6.5947947999957197</v>
      </c>
      <c r="AC8">
        <v>7.3191329999972297</v>
      </c>
      <c r="AD8">
        <v>1.0133333333333301</v>
      </c>
      <c r="AE8">
        <v>0.72466069999791205</v>
      </c>
      <c r="AU8">
        <v>485349</v>
      </c>
      <c r="AV8">
        <v>1</v>
      </c>
      <c r="AW8" t="s">
        <v>219</v>
      </c>
      <c r="AX8" t="s">
        <v>56</v>
      </c>
      <c r="AZ8" t="s">
        <v>57</v>
      </c>
      <c r="BA8">
        <v>60.207740790110201</v>
      </c>
      <c r="BB8" t="s">
        <v>220</v>
      </c>
    </row>
    <row r="9" spans="1:54" x14ac:dyDescent="0.35">
      <c r="A9" t="s">
        <v>54</v>
      </c>
      <c r="B9">
        <v>7</v>
      </c>
      <c r="C9">
        <v>7</v>
      </c>
      <c r="D9">
        <v>0</v>
      </c>
      <c r="E9">
        <v>1.0133333333333301</v>
      </c>
      <c r="F9">
        <v>0.80210859999351602</v>
      </c>
      <c r="P9">
        <v>0</v>
      </c>
      <c r="Q9">
        <v>7</v>
      </c>
      <c r="R9">
        <v>7</v>
      </c>
      <c r="S9">
        <v>1</v>
      </c>
      <c r="X9">
        <v>7.3393017999915102</v>
      </c>
      <c r="Z9">
        <v>7.3239383999898502</v>
      </c>
      <c r="AA9">
        <v>7.3393017999915102</v>
      </c>
      <c r="AB9">
        <v>7.3393017999915102</v>
      </c>
      <c r="AC9">
        <v>8.1433045000012498</v>
      </c>
      <c r="AD9">
        <v>1.0133333333333301</v>
      </c>
      <c r="AE9">
        <v>0.80210859999351602</v>
      </c>
      <c r="AU9">
        <v>485349</v>
      </c>
      <c r="AV9">
        <v>1</v>
      </c>
      <c r="AW9" t="s">
        <v>219</v>
      </c>
      <c r="AX9" t="s">
        <v>56</v>
      </c>
      <c r="AZ9" t="s">
        <v>57</v>
      </c>
      <c r="BA9">
        <v>60.207740790110201</v>
      </c>
      <c r="BB9" t="s">
        <v>220</v>
      </c>
    </row>
    <row r="10" spans="1:54" x14ac:dyDescent="0.35">
      <c r="A10" t="s">
        <v>67</v>
      </c>
      <c r="B10">
        <v>8</v>
      </c>
      <c r="C10">
        <v>8</v>
      </c>
      <c r="D10">
        <v>0</v>
      </c>
      <c r="E10">
        <v>1.0133333333333301</v>
      </c>
      <c r="F10">
        <v>0.66557560001092497</v>
      </c>
      <c r="P10">
        <v>0</v>
      </c>
      <c r="Q10">
        <v>8</v>
      </c>
      <c r="R10">
        <v>8</v>
      </c>
      <c r="S10">
        <v>10</v>
      </c>
      <c r="X10">
        <v>8.1645123999914997</v>
      </c>
      <c r="Z10">
        <v>8.1478842999931604</v>
      </c>
      <c r="AA10">
        <v>8.1645123999914997</v>
      </c>
      <c r="AB10">
        <v>8.1645123999914997</v>
      </c>
      <c r="AC10">
        <v>8.8296323999966209</v>
      </c>
      <c r="AD10">
        <v>1.0133333333333301</v>
      </c>
      <c r="AE10">
        <v>0.66557560001092497</v>
      </c>
      <c r="AU10">
        <v>485349</v>
      </c>
      <c r="AV10">
        <v>1</v>
      </c>
      <c r="AW10" t="s">
        <v>219</v>
      </c>
      <c r="AX10" t="s">
        <v>56</v>
      </c>
      <c r="AZ10" t="s">
        <v>57</v>
      </c>
      <c r="BA10">
        <v>60.207740790110201</v>
      </c>
      <c r="BB10" t="s">
        <v>220</v>
      </c>
    </row>
    <row r="11" spans="1:54" x14ac:dyDescent="0.35">
      <c r="A11" t="s">
        <v>61</v>
      </c>
      <c r="B11">
        <v>9</v>
      </c>
      <c r="C11">
        <v>9</v>
      </c>
      <c r="D11">
        <v>0</v>
      </c>
      <c r="E11">
        <v>1.0133333333333301</v>
      </c>
      <c r="F11">
        <v>0.72389439999824301</v>
      </c>
      <c r="P11">
        <v>0</v>
      </c>
      <c r="Q11">
        <v>9</v>
      </c>
      <c r="R11">
        <v>9</v>
      </c>
      <c r="S11">
        <v>9</v>
      </c>
      <c r="X11">
        <v>8.8502747999882505</v>
      </c>
      <c r="Z11">
        <v>8.8345028999901807</v>
      </c>
      <c r="AA11">
        <v>8.8502747999882505</v>
      </c>
      <c r="AB11">
        <v>8.8502747999882505</v>
      </c>
      <c r="AC11">
        <v>9.5745482999918696</v>
      </c>
      <c r="AD11">
        <v>1.0133333333333301</v>
      </c>
      <c r="AE11">
        <v>0.72389439999824301</v>
      </c>
      <c r="AU11">
        <v>485349</v>
      </c>
      <c r="AV11">
        <v>1</v>
      </c>
      <c r="AW11" t="s">
        <v>219</v>
      </c>
      <c r="AX11" t="s">
        <v>56</v>
      </c>
      <c r="AZ11" t="s">
        <v>57</v>
      </c>
      <c r="BA11">
        <v>60.207740790110201</v>
      </c>
      <c r="BB11" t="s">
        <v>220</v>
      </c>
    </row>
    <row r="12" spans="1:54" x14ac:dyDescent="0.35">
      <c r="A12" t="s">
        <v>60</v>
      </c>
      <c r="B12">
        <v>10</v>
      </c>
      <c r="C12">
        <v>10</v>
      </c>
      <c r="D12">
        <v>0</v>
      </c>
      <c r="E12">
        <v>1.0133333333333301</v>
      </c>
      <c r="F12">
        <v>0.87131629999203097</v>
      </c>
      <c r="P12">
        <v>0</v>
      </c>
      <c r="Q12">
        <v>10</v>
      </c>
      <c r="R12">
        <v>10</v>
      </c>
      <c r="S12">
        <v>3</v>
      </c>
      <c r="X12">
        <v>9.5957426999957498</v>
      </c>
      <c r="Z12">
        <v>9.5794936000020208</v>
      </c>
      <c r="AA12">
        <v>9.5957426999957498</v>
      </c>
      <c r="AB12">
        <v>9.5957426999957498</v>
      </c>
      <c r="AC12">
        <v>10.467146700000701</v>
      </c>
      <c r="AD12">
        <v>1.0133333333333301</v>
      </c>
      <c r="AE12">
        <v>0.87131629999203097</v>
      </c>
      <c r="AU12">
        <v>485349</v>
      </c>
      <c r="AV12">
        <v>1</v>
      </c>
      <c r="AW12" t="s">
        <v>219</v>
      </c>
      <c r="AX12" t="s">
        <v>56</v>
      </c>
      <c r="AZ12" t="s">
        <v>57</v>
      </c>
      <c r="BA12">
        <v>60.207740790110201</v>
      </c>
      <c r="BB12" t="s">
        <v>220</v>
      </c>
    </row>
    <row r="13" spans="1:54" x14ac:dyDescent="0.35">
      <c r="A13" t="s">
        <v>72</v>
      </c>
      <c r="B13">
        <v>11</v>
      </c>
      <c r="C13">
        <v>11</v>
      </c>
      <c r="D13">
        <v>0</v>
      </c>
      <c r="E13">
        <v>1.0133333333333301</v>
      </c>
      <c r="F13">
        <v>0.71052690000215002</v>
      </c>
      <c r="P13">
        <v>0</v>
      </c>
      <c r="Q13">
        <v>11</v>
      </c>
      <c r="R13">
        <v>11</v>
      </c>
      <c r="S13">
        <v>4</v>
      </c>
      <c r="X13">
        <v>10.491237900001501</v>
      </c>
      <c r="Z13">
        <v>10.4751692999998</v>
      </c>
      <c r="AA13">
        <v>10.491237900001501</v>
      </c>
      <c r="AB13">
        <v>10.491237900001501</v>
      </c>
      <c r="AC13">
        <v>11.201400399993799</v>
      </c>
      <c r="AD13">
        <v>1.0133333333333301</v>
      </c>
      <c r="AE13">
        <v>0.71052690000215002</v>
      </c>
      <c r="AU13">
        <v>485349</v>
      </c>
      <c r="AV13">
        <v>1</v>
      </c>
      <c r="AW13" t="s">
        <v>219</v>
      </c>
      <c r="AX13" t="s">
        <v>56</v>
      </c>
      <c r="AZ13" t="s">
        <v>57</v>
      </c>
      <c r="BA13">
        <v>60.207740790110201</v>
      </c>
      <c r="BB13" t="s">
        <v>220</v>
      </c>
    </row>
    <row r="14" spans="1:54" x14ac:dyDescent="0.35">
      <c r="A14" t="s">
        <v>70</v>
      </c>
      <c r="B14">
        <v>12</v>
      </c>
      <c r="C14">
        <v>12</v>
      </c>
      <c r="D14">
        <v>0</v>
      </c>
      <c r="E14">
        <v>1.0133333333333301</v>
      </c>
      <c r="F14">
        <v>0.74504709999018803</v>
      </c>
      <c r="P14">
        <v>0</v>
      </c>
      <c r="Q14">
        <v>12</v>
      </c>
      <c r="R14">
        <v>12</v>
      </c>
      <c r="S14">
        <v>11</v>
      </c>
      <c r="X14">
        <v>11.222616399987601</v>
      </c>
      <c r="Z14">
        <v>11.2062441000016</v>
      </c>
      <c r="AA14">
        <v>11.222616399987601</v>
      </c>
      <c r="AB14">
        <v>11.222616399987601</v>
      </c>
      <c r="AC14">
        <v>11.966953800001599</v>
      </c>
      <c r="AD14">
        <v>1.0133333333333301</v>
      </c>
      <c r="AE14">
        <v>0.74504709999018803</v>
      </c>
      <c r="AU14">
        <v>485349</v>
      </c>
      <c r="AV14">
        <v>1</v>
      </c>
      <c r="AW14" t="s">
        <v>219</v>
      </c>
      <c r="AX14" t="s">
        <v>56</v>
      </c>
      <c r="AZ14" t="s">
        <v>57</v>
      </c>
      <c r="BA14">
        <v>60.207740790110201</v>
      </c>
      <c r="BB14" t="s">
        <v>220</v>
      </c>
    </row>
    <row r="15" spans="1:54" x14ac:dyDescent="0.35">
      <c r="A15" t="s">
        <v>59</v>
      </c>
      <c r="B15">
        <v>13</v>
      </c>
      <c r="C15">
        <v>13</v>
      </c>
      <c r="D15">
        <v>0</v>
      </c>
      <c r="E15">
        <v>1.0133333333333301</v>
      </c>
      <c r="F15">
        <v>0.98329870001180097</v>
      </c>
      <c r="P15">
        <v>0</v>
      </c>
      <c r="Q15">
        <v>13</v>
      </c>
      <c r="R15">
        <v>13</v>
      </c>
      <c r="S15">
        <v>8</v>
      </c>
      <c r="X15">
        <v>11.9868550999963</v>
      </c>
      <c r="Z15">
        <v>11.971626300000899</v>
      </c>
      <c r="AA15">
        <v>11.9868550999963</v>
      </c>
      <c r="AB15">
        <v>11.9868550999963</v>
      </c>
      <c r="AC15">
        <v>12.9716807999939</v>
      </c>
      <c r="AD15">
        <v>1.0133333333333301</v>
      </c>
      <c r="AE15">
        <v>0.98329870001180097</v>
      </c>
      <c r="AU15">
        <v>485349</v>
      </c>
      <c r="AV15">
        <v>1</v>
      </c>
      <c r="AW15" t="s">
        <v>219</v>
      </c>
      <c r="AX15" t="s">
        <v>56</v>
      </c>
      <c r="AZ15" t="s">
        <v>57</v>
      </c>
      <c r="BA15">
        <v>60.207740790110201</v>
      </c>
      <c r="BB15" t="s">
        <v>220</v>
      </c>
    </row>
    <row r="16" spans="1:54" x14ac:dyDescent="0.35">
      <c r="A16" t="s">
        <v>71</v>
      </c>
      <c r="B16">
        <v>14</v>
      </c>
      <c r="C16">
        <v>14</v>
      </c>
      <c r="D16">
        <v>0</v>
      </c>
      <c r="E16">
        <v>1.0133333333333301</v>
      </c>
      <c r="F16">
        <v>0.60545350000029396</v>
      </c>
      <c r="P16">
        <v>0</v>
      </c>
      <c r="Q16">
        <v>14</v>
      </c>
      <c r="R16">
        <v>14</v>
      </c>
      <c r="S16">
        <v>14</v>
      </c>
      <c r="X16">
        <v>12.993582999988501</v>
      </c>
      <c r="Z16">
        <v>12.9781988999893</v>
      </c>
      <c r="AA16">
        <v>12.993582999988501</v>
      </c>
      <c r="AB16">
        <v>12.993582999988501</v>
      </c>
      <c r="AC16">
        <v>13.598737899999801</v>
      </c>
      <c r="AD16">
        <v>1.0133333333333301</v>
      </c>
      <c r="AE16">
        <v>0.60545350000029396</v>
      </c>
      <c r="AU16">
        <v>485349</v>
      </c>
      <c r="AV16">
        <v>1</v>
      </c>
      <c r="AW16" t="s">
        <v>219</v>
      </c>
      <c r="AX16" t="s">
        <v>56</v>
      </c>
      <c r="AZ16" t="s">
        <v>57</v>
      </c>
      <c r="BA16">
        <v>60.207740790110201</v>
      </c>
      <c r="BB16" t="s">
        <v>220</v>
      </c>
    </row>
    <row r="17" spans="2:54" x14ac:dyDescent="0.35">
      <c r="B17">
        <v>0</v>
      </c>
      <c r="C17">
        <v>0</v>
      </c>
      <c r="D17">
        <v>0</v>
      </c>
      <c r="F17" s="2">
        <v>1</v>
      </c>
      <c r="G17" t="s">
        <v>101</v>
      </c>
      <c r="H17" t="s">
        <v>63</v>
      </c>
      <c r="I17" t="s">
        <v>221</v>
      </c>
      <c r="J17" t="s">
        <v>222</v>
      </c>
      <c r="K17" t="s">
        <v>77</v>
      </c>
      <c r="L17" t="s">
        <v>78</v>
      </c>
      <c r="M17" t="s">
        <v>78</v>
      </c>
      <c r="N17" t="s">
        <v>223</v>
      </c>
      <c r="O17" t="s">
        <v>80</v>
      </c>
      <c r="T17">
        <v>0</v>
      </c>
      <c r="U17">
        <v>0</v>
      </c>
      <c r="V17">
        <v>0</v>
      </c>
      <c r="W17">
        <v>8</v>
      </c>
      <c r="X17">
        <v>13.650626499991599</v>
      </c>
      <c r="AF17">
        <v>13.624977999992501</v>
      </c>
      <c r="AG17">
        <v>13.650626499991599</v>
      </c>
      <c r="AH17">
        <v>13.650626499991599</v>
      </c>
      <c r="AI17">
        <v>13.650626499991599</v>
      </c>
      <c r="AJ17">
        <v>2.62439000071026E-2</v>
      </c>
      <c r="AK17">
        <v>18.271506599994598</v>
      </c>
      <c r="AL17" t="s">
        <v>63</v>
      </c>
      <c r="AM17" t="s">
        <v>221</v>
      </c>
      <c r="AN17" t="s">
        <v>222</v>
      </c>
      <c r="AO17" t="s">
        <v>77</v>
      </c>
      <c r="AP17" t="s">
        <v>78</v>
      </c>
      <c r="AQ17" t="s">
        <v>78</v>
      </c>
      <c r="AR17" t="s">
        <v>223</v>
      </c>
      <c r="AS17" t="s">
        <v>80</v>
      </c>
      <c r="AU17">
        <v>485349</v>
      </c>
      <c r="AV17">
        <v>1</v>
      </c>
      <c r="AW17" t="s">
        <v>219</v>
      </c>
      <c r="AX17" t="s">
        <v>56</v>
      </c>
      <c r="AZ17" t="s">
        <v>57</v>
      </c>
      <c r="BA17">
        <v>60.207740790110201</v>
      </c>
      <c r="BB17" t="s">
        <v>220</v>
      </c>
    </row>
    <row r="18" spans="2:54" x14ac:dyDescent="0.35">
      <c r="B18">
        <v>1</v>
      </c>
      <c r="C18">
        <v>1</v>
      </c>
      <c r="D18">
        <v>0</v>
      </c>
      <c r="F18" s="5">
        <v>1</v>
      </c>
      <c r="G18" s="6" t="s">
        <v>81</v>
      </c>
      <c r="H18" t="s">
        <v>82</v>
      </c>
      <c r="I18" t="s">
        <v>221</v>
      </c>
      <c r="J18" t="s">
        <v>222</v>
      </c>
      <c r="K18" t="s">
        <v>77</v>
      </c>
      <c r="L18" t="s">
        <v>78</v>
      </c>
      <c r="M18" t="s">
        <v>78</v>
      </c>
      <c r="N18" t="s">
        <v>224</v>
      </c>
      <c r="O18" t="s">
        <v>80</v>
      </c>
      <c r="T18">
        <v>0</v>
      </c>
      <c r="U18">
        <v>1</v>
      </c>
      <c r="V18">
        <v>1</v>
      </c>
      <c r="W18">
        <v>19</v>
      </c>
      <c r="X18">
        <v>18.2923885999916</v>
      </c>
      <c r="AF18">
        <v>18.275729799992401</v>
      </c>
      <c r="AG18">
        <v>18.2923885999916</v>
      </c>
      <c r="AH18">
        <v>18.2923885999916</v>
      </c>
      <c r="AI18">
        <v>18.2923885999916</v>
      </c>
      <c r="AJ18">
        <v>4.0354999946430299E-3</v>
      </c>
      <c r="AK18">
        <v>22.1692984999972</v>
      </c>
      <c r="AL18" t="s">
        <v>82</v>
      </c>
      <c r="AM18" t="s">
        <v>221</v>
      </c>
      <c r="AN18" t="s">
        <v>222</v>
      </c>
      <c r="AO18" t="s">
        <v>77</v>
      </c>
      <c r="AP18" t="s">
        <v>78</v>
      </c>
      <c r="AQ18" t="s">
        <v>78</v>
      </c>
      <c r="AR18" t="s">
        <v>224</v>
      </c>
      <c r="AS18" t="s">
        <v>80</v>
      </c>
      <c r="AU18">
        <v>485349</v>
      </c>
      <c r="AV18">
        <v>1</v>
      </c>
      <c r="AW18" t="s">
        <v>219</v>
      </c>
      <c r="AX18" t="s">
        <v>56</v>
      </c>
      <c r="AZ18" t="s">
        <v>57</v>
      </c>
      <c r="BA18">
        <v>60.207740790110201</v>
      </c>
      <c r="BB18" t="s">
        <v>220</v>
      </c>
    </row>
    <row r="19" spans="2:54" x14ac:dyDescent="0.35">
      <c r="B19">
        <v>2</v>
      </c>
      <c r="C19">
        <v>2</v>
      </c>
      <c r="D19">
        <v>0</v>
      </c>
      <c r="F19" s="2">
        <v>1</v>
      </c>
      <c r="G19" t="s">
        <v>113</v>
      </c>
      <c r="H19" t="s">
        <v>66</v>
      </c>
      <c r="I19" t="s">
        <v>221</v>
      </c>
      <c r="J19" t="s">
        <v>222</v>
      </c>
      <c r="K19" t="s">
        <v>77</v>
      </c>
      <c r="L19" t="s">
        <v>78</v>
      </c>
      <c r="M19" t="s">
        <v>78</v>
      </c>
      <c r="N19" t="s">
        <v>225</v>
      </c>
      <c r="O19" t="s">
        <v>80</v>
      </c>
      <c r="T19">
        <v>0</v>
      </c>
      <c r="U19">
        <v>2</v>
      </c>
      <c r="V19">
        <v>2</v>
      </c>
      <c r="W19">
        <v>1</v>
      </c>
      <c r="X19">
        <v>22.189682399999501</v>
      </c>
      <c r="AF19">
        <v>22.1737214999884</v>
      </c>
      <c r="AG19">
        <v>22.189682399999501</v>
      </c>
      <c r="AH19">
        <v>22.189682399999501</v>
      </c>
      <c r="AI19">
        <v>22.189682399999501</v>
      </c>
      <c r="AJ19">
        <v>4.2021999979624499E-3</v>
      </c>
      <c r="AK19">
        <v>27.619108400001998</v>
      </c>
      <c r="AL19" t="s">
        <v>66</v>
      </c>
      <c r="AM19" t="s">
        <v>221</v>
      </c>
      <c r="AN19" t="s">
        <v>222</v>
      </c>
      <c r="AO19" t="s">
        <v>77</v>
      </c>
      <c r="AP19" t="s">
        <v>78</v>
      </c>
      <c r="AQ19" t="s">
        <v>78</v>
      </c>
      <c r="AR19" t="s">
        <v>225</v>
      </c>
      <c r="AS19" t="s">
        <v>80</v>
      </c>
      <c r="AU19">
        <v>485349</v>
      </c>
      <c r="AV19">
        <v>1</v>
      </c>
      <c r="AW19" t="s">
        <v>219</v>
      </c>
      <c r="AX19" t="s">
        <v>56</v>
      </c>
      <c r="AZ19" t="s">
        <v>57</v>
      </c>
      <c r="BA19">
        <v>60.207740790110201</v>
      </c>
      <c r="BB19" t="s">
        <v>220</v>
      </c>
    </row>
    <row r="20" spans="2:54" x14ac:dyDescent="0.35">
      <c r="B20">
        <v>3</v>
      </c>
      <c r="C20">
        <v>3</v>
      </c>
      <c r="D20">
        <v>0</v>
      </c>
      <c r="F20" s="2">
        <v>1</v>
      </c>
      <c r="G20" t="s">
        <v>111</v>
      </c>
      <c r="H20" t="s">
        <v>177</v>
      </c>
      <c r="I20" t="s">
        <v>221</v>
      </c>
      <c r="J20" t="s">
        <v>222</v>
      </c>
      <c r="K20" t="s">
        <v>77</v>
      </c>
      <c r="L20" t="s">
        <v>78</v>
      </c>
      <c r="M20" t="s">
        <v>78</v>
      </c>
      <c r="N20" t="s">
        <v>226</v>
      </c>
      <c r="O20" t="s">
        <v>80</v>
      </c>
      <c r="T20">
        <v>0</v>
      </c>
      <c r="U20">
        <v>3</v>
      </c>
      <c r="V20">
        <v>3</v>
      </c>
      <c r="W20">
        <v>9</v>
      </c>
      <c r="X20">
        <v>27.639157400000801</v>
      </c>
      <c r="AF20">
        <v>27.623597500001701</v>
      </c>
      <c r="AG20">
        <v>27.639157400000801</v>
      </c>
      <c r="AH20">
        <v>27.639157400000801</v>
      </c>
      <c r="AI20">
        <v>27.639157400000801</v>
      </c>
      <c r="AJ20">
        <v>4.2733000009320598E-3</v>
      </c>
      <c r="AK20">
        <v>33.1729444999946</v>
      </c>
      <c r="AL20" t="s">
        <v>177</v>
      </c>
      <c r="AM20" t="s">
        <v>221</v>
      </c>
      <c r="AN20" t="s">
        <v>222</v>
      </c>
      <c r="AO20" t="s">
        <v>77</v>
      </c>
      <c r="AP20" t="s">
        <v>78</v>
      </c>
      <c r="AQ20" t="s">
        <v>78</v>
      </c>
      <c r="AR20" t="s">
        <v>226</v>
      </c>
      <c r="AS20" t="s">
        <v>80</v>
      </c>
      <c r="AU20">
        <v>485349</v>
      </c>
      <c r="AV20">
        <v>1</v>
      </c>
      <c r="AW20" t="s">
        <v>219</v>
      </c>
      <c r="AX20" t="s">
        <v>56</v>
      </c>
      <c r="AZ20" t="s">
        <v>57</v>
      </c>
      <c r="BA20">
        <v>60.207740790110201</v>
      </c>
      <c r="BB20" t="s">
        <v>220</v>
      </c>
    </row>
    <row r="21" spans="2:54" x14ac:dyDescent="0.35">
      <c r="B21">
        <v>4</v>
      </c>
      <c r="C21">
        <v>4</v>
      </c>
      <c r="D21">
        <v>0</v>
      </c>
      <c r="F21" s="5">
        <v>1</v>
      </c>
      <c r="G21" s="6" t="s">
        <v>133</v>
      </c>
      <c r="H21" t="s">
        <v>134</v>
      </c>
      <c r="I21" t="s">
        <v>221</v>
      </c>
      <c r="J21" t="s">
        <v>222</v>
      </c>
      <c r="K21" t="s">
        <v>77</v>
      </c>
      <c r="L21" t="s">
        <v>78</v>
      </c>
      <c r="M21" t="s">
        <v>78</v>
      </c>
      <c r="N21" t="s">
        <v>227</v>
      </c>
      <c r="O21" t="s">
        <v>80</v>
      </c>
      <c r="T21">
        <v>0</v>
      </c>
      <c r="U21">
        <v>4</v>
      </c>
      <c r="V21">
        <v>4</v>
      </c>
      <c r="W21">
        <v>18</v>
      </c>
      <c r="X21">
        <v>33.197489500002099</v>
      </c>
      <c r="AF21">
        <v>33.1790975999902</v>
      </c>
      <c r="AG21">
        <v>33.197489500002099</v>
      </c>
      <c r="AH21">
        <v>33.197489500002099</v>
      </c>
      <c r="AI21">
        <v>33.197489500002099</v>
      </c>
      <c r="AJ21">
        <v>5.8646999968914298E-3</v>
      </c>
      <c r="AK21">
        <v>38.594228599991702</v>
      </c>
      <c r="AL21" t="s">
        <v>134</v>
      </c>
      <c r="AM21" t="s">
        <v>221</v>
      </c>
      <c r="AN21" t="s">
        <v>222</v>
      </c>
      <c r="AO21" t="s">
        <v>77</v>
      </c>
      <c r="AP21" t="s">
        <v>78</v>
      </c>
      <c r="AQ21" t="s">
        <v>78</v>
      </c>
      <c r="AR21" t="s">
        <v>227</v>
      </c>
      <c r="AS21" t="s">
        <v>80</v>
      </c>
      <c r="AU21">
        <v>485349</v>
      </c>
      <c r="AV21">
        <v>1</v>
      </c>
      <c r="AW21" t="s">
        <v>219</v>
      </c>
      <c r="AX21" t="s">
        <v>56</v>
      </c>
      <c r="AZ21" t="s">
        <v>57</v>
      </c>
      <c r="BA21">
        <v>60.207740790110201</v>
      </c>
      <c r="BB21" t="s">
        <v>220</v>
      </c>
    </row>
    <row r="22" spans="2:54" x14ac:dyDescent="0.35">
      <c r="B22">
        <v>5</v>
      </c>
      <c r="C22">
        <v>5</v>
      </c>
      <c r="D22">
        <v>0</v>
      </c>
      <c r="F22" s="2">
        <v>0</v>
      </c>
      <c r="G22" t="s">
        <v>118</v>
      </c>
      <c r="H22" t="s">
        <v>212</v>
      </c>
      <c r="I22" t="s">
        <v>221</v>
      </c>
      <c r="J22" t="s">
        <v>222</v>
      </c>
      <c r="K22" t="s">
        <v>77</v>
      </c>
      <c r="L22" t="s">
        <v>78</v>
      </c>
      <c r="M22" t="s">
        <v>78</v>
      </c>
      <c r="N22" t="s">
        <v>229</v>
      </c>
      <c r="O22" t="s">
        <v>80</v>
      </c>
      <c r="T22">
        <v>0</v>
      </c>
      <c r="U22">
        <v>5</v>
      </c>
      <c r="V22">
        <v>5</v>
      </c>
      <c r="W22">
        <v>14</v>
      </c>
      <c r="X22">
        <v>38.615070499989002</v>
      </c>
      <c r="AF22">
        <v>38.598809699993502</v>
      </c>
      <c r="AG22">
        <v>38.615070499989002</v>
      </c>
      <c r="AH22">
        <v>38.615070499989002</v>
      </c>
      <c r="AI22">
        <v>38.615070499989002</v>
      </c>
      <c r="AJ22">
        <v>4.3647000129567399E-3</v>
      </c>
      <c r="AK22">
        <v>43.859093499995602</v>
      </c>
      <c r="AL22" t="s">
        <v>228</v>
      </c>
      <c r="AM22" t="s">
        <v>221</v>
      </c>
      <c r="AN22" t="s">
        <v>222</v>
      </c>
      <c r="AO22" t="s">
        <v>77</v>
      </c>
      <c r="AP22" t="s">
        <v>78</v>
      </c>
      <c r="AQ22" t="s">
        <v>78</v>
      </c>
      <c r="AR22" t="s">
        <v>229</v>
      </c>
      <c r="AS22" t="s">
        <v>80</v>
      </c>
      <c r="AU22">
        <v>485349</v>
      </c>
      <c r="AV22">
        <v>1</v>
      </c>
      <c r="AW22" t="s">
        <v>219</v>
      </c>
      <c r="AX22" t="s">
        <v>56</v>
      </c>
      <c r="AZ22" t="s">
        <v>57</v>
      </c>
      <c r="BA22">
        <v>60.207740790110201</v>
      </c>
      <c r="BB22" t="s">
        <v>220</v>
      </c>
    </row>
    <row r="23" spans="2:54" x14ac:dyDescent="0.35">
      <c r="B23">
        <v>6</v>
      </c>
      <c r="C23">
        <v>6</v>
      </c>
      <c r="D23">
        <v>0</v>
      </c>
      <c r="F23" s="5">
        <v>1</v>
      </c>
      <c r="G23" s="6" t="s">
        <v>73</v>
      </c>
      <c r="H23" t="s">
        <v>74</v>
      </c>
      <c r="I23" t="s">
        <v>221</v>
      </c>
      <c r="J23" t="s">
        <v>222</v>
      </c>
      <c r="K23" t="s">
        <v>77</v>
      </c>
      <c r="L23" t="s">
        <v>78</v>
      </c>
      <c r="M23" t="s">
        <v>78</v>
      </c>
      <c r="N23" t="s">
        <v>230</v>
      </c>
      <c r="O23" t="s">
        <v>80</v>
      </c>
      <c r="T23">
        <v>0</v>
      </c>
      <c r="U23">
        <v>6</v>
      </c>
      <c r="V23">
        <v>6</v>
      </c>
      <c r="W23">
        <v>16</v>
      </c>
      <c r="X23">
        <v>43.877900299994501</v>
      </c>
      <c r="AF23">
        <v>43.863297099989701</v>
      </c>
      <c r="AG23">
        <v>43.877900299994501</v>
      </c>
      <c r="AH23">
        <v>43.877900299994501</v>
      </c>
      <c r="AI23">
        <v>43.877900299994501</v>
      </c>
      <c r="AJ23">
        <v>4.0257999935420204E-3</v>
      </c>
      <c r="AK23">
        <v>47.975521799991803</v>
      </c>
      <c r="AL23" t="s">
        <v>74</v>
      </c>
      <c r="AM23" t="s">
        <v>221</v>
      </c>
      <c r="AN23" t="s">
        <v>222</v>
      </c>
      <c r="AO23" t="s">
        <v>77</v>
      </c>
      <c r="AP23" t="s">
        <v>78</v>
      </c>
      <c r="AQ23" t="s">
        <v>78</v>
      </c>
      <c r="AR23" t="s">
        <v>230</v>
      </c>
      <c r="AS23" t="s">
        <v>80</v>
      </c>
      <c r="AU23">
        <v>485349</v>
      </c>
      <c r="AV23">
        <v>1</v>
      </c>
      <c r="AW23" t="s">
        <v>219</v>
      </c>
      <c r="AX23" t="s">
        <v>56</v>
      </c>
      <c r="AZ23" t="s">
        <v>57</v>
      </c>
      <c r="BA23">
        <v>60.207740790110201</v>
      </c>
      <c r="BB23" t="s">
        <v>220</v>
      </c>
    </row>
    <row r="24" spans="2:54" x14ac:dyDescent="0.35">
      <c r="B24">
        <v>7</v>
      </c>
      <c r="C24">
        <v>7</v>
      </c>
      <c r="D24">
        <v>0</v>
      </c>
      <c r="F24" s="2">
        <v>1</v>
      </c>
      <c r="G24" t="s">
        <v>106</v>
      </c>
      <c r="H24" t="s">
        <v>107</v>
      </c>
      <c r="I24" t="s">
        <v>221</v>
      </c>
      <c r="J24" t="s">
        <v>222</v>
      </c>
      <c r="K24" t="s">
        <v>77</v>
      </c>
      <c r="L24" t="s">
        <v>78</v>
      </c>
      <c r="M24" t="s">
        <v>78</v>
      </c>
      <c r="N24" t="s">
        <v>231</v>
      </c>
      <c r="O24" t="s">
        <v>80</v>
      </c>
      <c r="T24">
        <v>0</v>
      </c>
      <c r="U24">
        <v>7</v>
      </c>
      <c r="V24">
        <v>7</v>
      </c>
      <c r="W24">
        <v>5</v>
      </c>
      <c r="X24">
        <v>47.996040199999698</v>
      </c>
      <c r="AF24">
        <v>47.979883299994903</v>
      </c>
      <c r="AG24">
        <v>47.996040199999698</v>
      </c>
      <c r="AH24">
        <v>47.996040199999698</v>
      </c>
      <c r="AI24">
        <v>47.996040199999698</v>
      </c>
      <c r="AJ24">
        <v>4.1762000037124302E-3</v>
      </c>
      <c r="AK24">
        <v>53.2086286999983</v>
      </c>
      <c r="AL24" t="s">
        <v>107</v>
      </c>
      <c r="AM24" t="s">
        <v>221</v>
      </c>
      <c r="AN24" t="s">
        <v>222</v>
      </c>
      <c r="AO24" t="s">
        <v>77</v>
      </c>
      <c r="AP24" t="s">
        <v>78</v>
      </c>
      <c r="AQ24" t="s">
        <v>78</v>
      </c>
      <c r="AR24" t="s">
        <v>231</v>
      </c>
      <c r="AS24" t="s">
        <v>80</v>
      </c>
      <c r="AU24">
        <v>485349</v>
      </c>
      <c r="AV24">
        <v>1</v>
      </c>
      <c r="AW24" t="s">
        <v>219</v>
      </c>
      <c r="AX24" t="s">
        <v>56</v>
      </c>
      <c r="AZ24" t="s">
        <v>57</v>
      </c>
      <c r="BA24">
        <v>60.207740790110201</v>
      </c>
      <c r="BB24" t="s">
        <v>220</v>
      </c>
    </row>
    <row r="25" spans="2:54" x14ac:dyDescent="0.35">
      <c r="B25">
        <v>8</v>
      </c>
      <c r="C25">
        <v>8</v>
      </c>
      <c r="D25">
        <v>0</v>
      </c>
      <c r="F25" s="2">
        <v>1</v>
      </c>
      <c r="G25" t="s">
        <v>94</v>
      </c>
      <c r="H25" t="s">
        <v>59</v>
      </c>
      <c r="I25" t="s">
        <v>221</v>
      </c>
      <c r="J25" t="s">
        <v>222</v>
      </c>
      <c r="K25" t="s">
        <v>77</v>
      </c>
      <c r="L25" t="s">
        <v>78</v>
      </c>
      <c r="M25" t="s">
        <v>78</v>
      </c>
      <c r="N25" t="s">
        <v>232</v>
      </c>
      <c r="O25" t="s">
        <v>80</v>
      </c>
      <c r="T25">
        <v>0</v>
      </c>
      <c r="U25">
        <v>8</v>
      </c>
      <c r="V25">
        <v>8</v>
      </c>
      <c r="W25">
        <v>3</v>
      </c>
      <c r="X25">
        <v>53.228638799991998</v>
      </c>
      <c r="AF25">
        <v>53.213113999998299</v>
      </c>
      <c r="AG25">
        <v>53.228638799991998</v>
      </c>
      <c r="AH25">
        <v>53.228638799991998</v>
      </c>
      <c r="AI25">
        <v>53.228638799991998</v>
      </c>
      <c r="AJ25">
        <v>4.3122999923070797E-3</v>
      </c>
      <c r="AK25">
        <v>56.5589776999986</v>
      </c>
      <c r="AL25" t="s">
        <v>59</v>
      </c>
      <c r="AM25" t="s">
        <v>221</v>
      </c>
      <c r="AN25" t="s">
        <v>222</v>
      </c>
      <c r="AO25" t="s">
        <v>77</v>
      </c>
      <c r="AP25" t="s">
        <v>78</v>
      </c>
      <c r="AQ25" t="s">
        <v>78</v>
      </c>
      <c r="AR25" t="s">
        <v>232</v>
      </c>
      <c r="AS25" t="s">
        <v>80</v>
      </c>
      <c r="AU25">
        <v>485349</v>
      </c>
      <c r="AV25">
        <v>1</v>
      </c>
      <c r="AW25" t="s">
        <v>219</v>
      </c>
      <c r="AX25" t="s">
        <v>56</v>
      </c>
      <c r="AZ25" t="s">
        <v>57</v>
      </c>
      <c r="BA25">
        <v>60.207740790110201</v>
      </c>
      <c r="BB25" t="s">
        <v>220</v>
      </c>
    </row>
    <row r="26" spans="2:54" x14ac:dyDescent="0.35">
      <c r="B26">
        <v>9</v>
      </c>
      <c r="C26">
        <v>9</v>
      </c>
      <c r="D26">
        <v>0</v>
      </c>
      <c r="F26" s="5">
        <v>1</v>
      </c>
      <c r="G26" s="6" t="s">
        <v>98</v>
      </c>
      <c r="H26" t="s">
        <v>151</v>
      </c>
      <c r="I26" t="s">
        <v>221</v>
      </c>
      <c r="J26" t="s">
        <v>222</v>
      </c>
      <c r="K26" t="s">
        <v>77</v>
      </c>
      <c r="L26" t="s">
        <v>78</v>
      </c>
      <c r="M26" t="s">
        <v>78</v>
      </c>
      <c r="N26" t="s">
        <v>233</v>
      </c>
      <c r="O26" t="s">
        <v>80</v>
      </c>
      <c r="T26">
        <v>0</v>
      </c>
      <c r="U26">
        <v>9</v>
      </c>
      <c r="V26">
        <v>9</v>
      </c>
      <c r="W26">
        <v>15</v>
      </c>
      <c r="X26">
        <v>56.579190199990897</v>
      </c>
      <c r="AF26">
        <v>56.563385699991997</v>
      </c>
      <c r="AG26">
        <v>56.579190199990897</v>
      </c>
      <c r="AH26">
        <v>56.579190199990897</v>
      </c>
      <c r="AI26">
        <v>56.579190199990897</v>
      </c>
      <c r="AJ26">
        <v>4.1695999971125197E-3</v>
      </c>
      <c r="AK26">
        <v>70.543262499995706</v>
      </c>
      <c r="AL26" t="s">
        <v>151</v>
      </c>
      <c r="AM26" t="s">
        <v>221</v>
      </c>
      <c r="AN26" t="s">
        <v>222</v>
      </c>
      <c r="AO26" t="s">
        <v>77</v>
      </c>
      <c r="AP26" t="s">
        <v>78</v>
      </c>
      <c r="AQ26" t="s">
        <v>78</v>
      </c>
      <c r="AR26" t="s">
        <v>233</v>
      </c>
      <c r="AS26" t="s">
        <v>80</v>
      </c>
      <c r="AT26">
        <v>66.591801699992999</v>
      </c>
      <c r="AU26">
        <v>485349</v>
      </c>
      <c r="AV26">
        <v>1</v>
      </c>
      <c r="AW26" t="s">
        <v>219</v>
      </c>
      <c r="AX26" t="s">
        <v>56</v>
      </c>
      <c r="AZ26" t="s">
        <v>57</v>
      </c>
      <c r="BA26">
        <v>60.207740790110201</v>
      </c>
      <c r="BB26" t="s">
        <v>220</v>
      </c>
    </row>
    <row r="27" spans="2:54" x14ac:dyDescent="0.35">
      <c r="B27">
        <v>10</v>
      </c>
      <c r="C27">
        <v>10</v>
      </c>
      <c r="D27">
        <v>0</v>
      </c>
      <c r="F27" s="5">
        <v>1</v>
      </c>
      <c r="G27" s="6" t="s">
        <v>125</v>
      </c>
      <c r="H27" t="s">
        <v>126</v>
      </c>
      <c r="I27" t="s">
        <v>221</v>
      </c>
      <c r="J27" t="s">
        <v>222</v>
      </c>
      <c r="K27" t="s">
        <v>77</v>
      </c>
      <c r="L27" t="s">
        <v>78</v>
      </c>
      <c r="M27" t="s">
        <v>78</v>
      </c>
      <c r="N27" t="s">
        <v>234</v>
      </c>
      <c r="O27" t="s">
        <v>80</v>
      </c>
      <c r="T27">
        <v>0</v>
      </c>
      <c r="U27">
        <v>10</v>
      </c>
      <c r="V27">
        <v>10</v>
      </c>
      <c r="W27">
        <v>17</v>
      </c>
      <c r="X27">
        <v>70.576587499992399</v>
      </c>
      <c r="AF27">
        <v>70.560956399989607</v>
      </c>
      <c r="AG27">
        <v>70.576587499992399</v>
      </c>
      <c r="AH27">
        <v>70.576587499992399</v>
      </c>
      <c r="AI27">
        <v>70.576587499992399</v>
      </c>
      <c r="AJ27">
        <v>1.7495899999630599E-2</v>
      </c>
      <c r="AK27">
        <v>75.780085299993502</v>
      </c>
      <c r="AL27" t="s">
        <v>126</v>
      </c>
      <c r="AM27" t="s">
        <v>221</v>
      </c>
      <c r="AN27" t="s">
        <v>222</v>
      </c>
      <c r="AO27" t="s">
        <v>77</v>
      </c>
      <c r="AP27" t="s">
        <v>78</v>
      </c>
      <c r="AQ27" t="s">
        <v>78</v>
      </c>
      <c r="AR27" t="s">
        <v>234</v>
      </c>
      <c r="AS27" t="s">
        <v>80</v>
      </c>
      <c r="AU27">
        <v>485349</v>
      </c>
      <c r="AV27">
        <v>1</v>
      </c>
      <c r="AW27" t="s">
        <v>219</v>
      </c>
      <c r="AX27" t="s">
        <v>56</v>
      </c>
      <c r="AZ27" t="s">
        <v>57</v>
      </c>
      <c r="BA27">
        <v>60.207740790110201</v>
      </c>
      <c r="BB27" t="s">
        <v>220</v>
      </c>
    </row>
    <row r="28" spans="2:54" x14ac:dyDescent="0.35">
      <c r="B28">
        <v>11</v>
      </c>
      <c r="C28">
        <v>11</v>
      </c>
      <c r="D28">
        <v>0</v>
      </c>
      <c r="F28" s="2">
        <v>1</v>
      </c>
      <c r="G28" t="s">
        <v>92</v>
      </c>
      <c r="H28" t="s">
        <v>69</v>
      </c>
      <c r="I28" t="s">
        <v>221</v>
      </c>
      <c r="J28" t="s">
        <v>222</v>
      </c>
      <c r="K28" t="s">
        <v>77</v>
      </c>
      <c r="L28" t="s">
        <v>78</v>
      </c>
      <c r="M28" t="s">
        <v>78</v>
      </c>
      <c r="N28" t="s">
        <v>235</v>
      </c>
      <c r="O28" t="s">
        <v>80</v>
      </c>
      <c r="T28">
        <v>0</v>
      </c>
      <c r="U28">
        <v>11</v>
      </c>
      <c r="V28">
        <v>11</v>
      </c>
      <c r="W28">
        <v>0</v>
      </c>
      <c r="X28">
        <v>75.799342999991495</v>
      </c>
      <c r="AF28">
        <v>75.784415399990394</v>
      </c>
      <c r="AG28">
        <v>75.799342999991495</v>
      </c>
      <c r="AH28">
        <v>75.799342999991495</v>
      </c>
      <c r="AI28">
        <v>75.799342999991495</v>
      </c>
      <c r="AJ28">
        <v>4.1569999884813998E-3</v>
      </c>
      <c r="AK28">
        <v>80.648143099999203</v>
      </c>
      <c r="AL28" t="s">
        <v>69</v>
      </c>
      <c r="AM28" t="s">
        <v>221</v>
      </c>
      <c r="AN28" t="s">
        <v>222</v>
      </c>
      <c r="AO28" t="s">
        <v>77</v>
      </c>
      <c r="AP28" t="s">
        <v>78</v>
      </c>
      <c r="AQ28" t="s">
        <v>78</v>
      </c>
      <c r="AR28" t="s">
        <v>235</v>
      </c>
      <c r="AS28" t="s">
        <v>80</v>
      </c>
      <c r="AU28">
        <v>485349</v>
      </c>
      <c r="AV28">
        <v>1</v>
      </c>
      <c r="AW28" t="s">
        <v>219</v>
      </c>
      <c r="AX28" t="s">
        <v>56</v>
      </c>
      <c r="AZ28" t="s">
        <v>57</v>
      </c>
      <c r="BA28">
        <v>60.207740790110201</v>
      </c>
      <c r="BB28" t="s">
        <v>220</v>
      </c>
    </row>
    <row r="29" spans="2:54" x14ac:dyDescent="0.35">
      <c r="B29">
        <v>12</v>
      </c>
      <c r="C29">
        <v>12</v>
      </c>
      <c r="D29">
        <v>0</v>
      </c>
      <c r="F29" s="3"/>
      <c r="G29" s="8" t="s">
        <v>96</v>
      </c>
      <c r="H29" s="4"/>
      <c r="I29" t="s">
        <v>221</v>
      </c>
      <c r="J29" t="s">
        <v>222</v>
      </c>
      <c r="K29" t="s">
        <v>77</v>
      </c>
      <c r="L29" t="s">
        <v>78</v>
      </c>
      <c r="M29" t="s">
        <v>78</v>
      </c>
      <c r="N29" t="s">
        <v>236</v>
      </c>
      <c r="O29" t="s">
        <v>80</v>
      </c>
      <c r="T29">
        <v>0</v>
      </c>
      <c r="U29">
        <v>12</v>
      </c>
      <c r="V29">
        <v>12</v>
      </c>
      <c r="W29">
        <v>10</v>
      </c>
      <c r="X29">
        <v>80.667099999991393</v>
      </c>
      <c r="AF29">
        <v>80.652616799998199</v>
      </c>
      <c r="AG29">
        <v>80.667099999991393</v>
      </c>
      <c r="AH29">
        <v>80.667099999991393</v>
      </c>
      <c r="AI29">
        <v>80.667099999991393</v>
      </c>
      <c r="AJ29">
        <v>4.3179999920539497E-3</v>
      </c>
      <c r="AK29">
        <v>90.364238299996899</v>
      </c>
      <c r="AM29" t="s">
        <v>221</v>
      </c>
      <c r="AN29" t="s">
        <v>222</v>
      </c>
      <c r="AO29" t="s">
        <v>77</v>
      </c>
      <c r="AP29" t="s">
        <v>78</v>
      </c>
      <c r="AQ29" t="s">
        <v>78</v>
      </c>
      <c r="AR29" t="s">
        <v>236</v>
      </c>
      <c r="AS29" t="s">
        <v>80</v>
      </c>
      <c r="AU29">
        <v>485349</v>
      </c>
      <c r="AV29">
        <v>1</v>
      </c>
      <c r="AW29" t="s">
        <v>219</v>
      </c>
      <c r="AX29" t="s">
        <v>56</v>
      </c>
      <c r="AZ29" t="s">
        <v>57</v>
      </c>
      <c r="BA29">
        <v>60.207740790110201</v>
      </c>
      <c r="BB29" t="s">
        <v>220</v>
      </c>
    </row>
    <row r="30" spans="2:54" x14ac:dyDescent="0.35">
      <c r="B30">
        <v>13</v>
      </c>
      <c r="C30">
        <v>13</v>
      </c>
      <c r="D30">
        <v>0</v>
      </c>
      <c r="F30" s="2">
        <v>1</v>
      </c>
      <c r="G30" t="s">
        <v>128</v>
      </c>
      <c r="H30" t="s">
        <v>162</v>
      </c>
      <c r="I30" t="s">
        <v>221</v>
      </c>
      <c r="J30" t="s">
        <v>222</v>
      </c>
      <c r="K30" t="s">
        <v>77</v>
      </c>
      <c r="L30" t="s">
        <v>78</v>
      </c>
      <c r="M30" t="s">
        <v>78</v>
      </c>
      <c r="N30" t="s">
        <v>237</v>
      </c>
      <c r="O30" t="s">
        <v>80</v>
      </c>
      <c r="T30">
        <v>0</v>
      </c>
      <c r="U30">
        <v>13</v>
      </c>
      <c r="V30">
        <v>13</v>
      </c>
      <c r="W30">
        <v>7</v>
      </c>
      <c r="X30">
        <v>90.384443199989605</v>
      </c>
      <c r="AF30">
        <v>90.368634099999298</v>
      </c>
      <c r="AG30">
        <v>90.384443199989605</v>
      </c>
      <c r="AH30">
        <v>90.384443199989605</v>
      </c>
      <c r="AI30">
        <v>90.384443199989605</v>
      </c>
      <c r="AJ30">
        <v>4.1973000043071798E-3</v>
      </c>
      <c r="AK30">
        <v>93.764946099996394</v>
      </c>
      <c r="AL30" t="s">
        <v>162</v>
      </c>
      <c r="AM30" t="s">
        <v>221</v>
      </c>
      <c r="AN30" t="s">
        <v>222</v>
      </c>
      <c r="AO30" t="s">
        <v>77</v>
      </c>
      <c r="AP30" t="s">
        <v>78</v>
      </c>
      <c r="AQ30" t="s">
        <v>78</v>
      </c>
      <c r="AR30" t="s">
        <v>237</v>
      </c>
      <c r="AS30" t="s">
        <v>80</v>
      </c>
      <c r="AU30">
        <v>485349</v>
      </c>
      <c r="AV30">
        <v>1</v>
      </c>
      <c r="AW30" t="s">
        <v>219</v>
      </c>
      <c r="AX30" t="s">
        <v>56</v>
      </c>
      <c r="AZ30" t="s">
        <v>57</v>
      </c>
      <c r="BA30">
        <v>60.207740790110201</v>
      </c>
      <c r="BB30" t="s">
        <v>220</v>
      </c>
    </row>
    <row r="31" spans="2:54" x14ac:dyDescent="0.35">
      <c r="B31">
        <v>14</v>
      </c>
      <c r="C31">
        <v>14</v>
      </c>
      <c r="D31">
        <v>0</v>
      </c>
      <c r="F31" s="2">
        <v>1</v>
      </c>
      <c r="G31" t="s">
        <v>136</v>
      </c>
      <c r="H31" t="s">
        <v>137</v>
      </c>
      <c r="I31" t="s">
        <v>221</v>
      </c>
      <c r="J31" t="s">
        <v>222</v>
      </c>
      <c r="K31" t="s">
        <v>77</v>
      </c>
      <c r="L31" t="s">
        <v>78</v>
      </c>
      <c r="M31" t="s">
        <v>78</v>
      </c>
      <c r="N31" t="s">
        <v>238</v>
      </c>
      <c r="O31" t="s">
        <v>80</v>
      </c>
      <c r="T31">
        <v>0</v>
      </c>
      <c r="U31">
        <v>14</v>
      </c>
      <c r="V31">
        <v>14</v>
      </c>
      <c r="W31">
        <v>2</v>
      </c>
      <c r="X31">
        <v>93.785207799999597</v>
      </c>
      <c r="AF31">
        <v>93.769514399988097</v>
      </c>
      <c r="AG31">
        <v>93.785207799999597</v>
      </c>
      <c r="AH31">
        <v>93.785207799999597</v>
      </c>
      <c r="AI31">
        <v>93.785207799999597</v>
      </c>
      <c r="AJ31">
        <v>4.3871999951079401E-3</v>
      </c>
      <c r="AK31">
        <v>97.247082699992404</v>
      </c>
      <c r="AL31" t="s">
        <v>137</v>
      </c>
      <c r="AM31" t="s">
        <v>221</v>
      </c>
      <c r="AN31" t="s">
        <v>222</v>
      </c>
      <c r="AO31" t="s">
        <v>77</v>
      </c>
      <c r="AP31" t="s">
        <v>78</v>
      </c>
      <c r="AQ31" t="s">
        <v>78</v>
      </c>
      <c r="AR31" t="s">
        <v>238</v>
      </c>
      <c r="AS31" t="s">
        <v>80</v>
      </c>
      <c r="AU31">
        <v>485349</v>
      </c>
      <c r="AV31">
        <v>1</v>
      </c>
      <c r="AW31" t="s">
        <v>219</v>
      </c>
      <c r="AX31" t="s">
        <v>56</v>
      </c>
      <c r="AZ31" t="s">
        <v>57</v>
      </c>
      <c r="BA31">
        <v>60.207740790110201</v>
      </c>
      <c r="BB31" t="s">
        <v>220</v>
      </c>
    </row>
    <row r="32" spans="2:54" x14ac:dyDescent="0.35">
      <c r="B32">
        <v>15</v>
      </c>
      <c r="C32">
        <v>15</v>
      </c>
      <c r="D32">
        <v>0</v>
      </c>
      <c r="F32" s="3"/>
      <c r="G32" s="8" t="s">
        <v>103</v>
      </c>
      <c r="H32" s="4"/>
      <c r="I32" t="s">
        <v>221</v>
      </c>
      <c r="J32" t="s">
        <v>222</v>
      </c>
      <c r="K32" t="s">
        <v>77</v>
      </c>
      <c r="L32" t="s">
        <v>78</v>
      </c>
      <c r="M32" t="s">
        <v>78</v>
      </c>
      <c r="N32" t="s">
        <v>239</v>
      </c>
      <c r="O32" t="s">
        <v>80</v>
      </c>
      <c r="T32">
        <v>0</v>
      </c>
      <c r="U32">
        <v>15</v>
      </c>
      <c r="V32">
        <v>15</v>
      </c>
      <c r="W32">
        <v>12</v>
      </c>
      <c r="X32">
        <v>97.268826300001805</v>
      </c>
      <c r="AF32">
        <v>97.251839699994804</v>
      </c>
      <c r="AG32">
        <v>97.268826300001805</v>
      </c>
      <c r="AH32">
        <v>97.268826300001805</v>
      </c>
      <c r="AI32">
        <v>97.268826300001805</v>
      </c>
      <c r="AJ32">
        <v>4.5988000056240699E-3</v>
      </c>
      <c r="AK32">
        <v>104.41725269999</v>
      </c>
      <c r="AM32" t="s">
        <v>221</v>
      </c>
      <c r="AN32" t="s">
        <v>222</v>
      </c>
      <c r="AO32" t="s">
        <v>77</v>
      </c>
      <c r="AP32" t="s">
        <v>78</v>
      </c>
      <c r="AQ32" t="s">
        <v>78</v>
      </c>
      <c r="AR32" t="s">
        <v>239</v>
      </c>
      <c r="AS32" t="s">
        <v>80</v>
      </c>
      <c r="AU32">
        <v>485349</v>
      </c>
      <c r="AV32">
        <v>1</v>
      </c>
      <c r="AW32" t="s">
        <v>219</v>
      </c>
      <c r="AX32" t="s">
        <v>56</v>
      </c>
      <c r="AZ32" t="s">
        <v>57</v>
      </c>
      <c r="BA32">
        <v>60.207740790110201</v>
      </c>
      <c r="BB32" t="s">
        <v>220</v>
      </c>
    </row>
    <row r="33" spans="2:54" x14ac:dyDescent="0.35">
      <c r="B33">
        <v>16</v>
      </c>
      <c r="C33">
        <v>16</v>
      </c>
      <c r="D33">
        <v>0</v>
      </c>
      <c r="F33" s="2">
        <v>0</v>
      </c>
      <c r="G33" t="s">
        <v>190</v>
      </c>
      <c r="H33" t="s">
        <v>240</v>
      </c>
      <c r="I33" t="s">
        <v>221</v>
      </c>
      <c r="J33" t="s">
        <v>222</v>
      </c>
      <c r="K33" t="s">
        <v>77</v>
      </c>
      <c r="L33" t="s">
        <v>78</v>
      </c>
      <c r="M33" t="s">
        <v>78</v>
      </c>
      <c r="N33" t="s">
        <v>241</v>
      </c>
      <c r="O33" t="s">
        <v>80</v>
      </c>
      <c r="T33">
        <v>0</v>
      </c>
      <c r="U33">
        <v>16</v>
      </c>
      <c r="V33">
        <v>16</v>
      </c>
      <c r="W33">
        <v>4</v>
      </c>
      <c r="X33">
        <v>104.437460000001</v>
      </c>
      <c r="AF33">
        <v>104.42182579998899</v>
      </c>
      <c r="AG33">
        <v>104.437460000001</v>
      </c>
      <c r="AH33">
        <v>104.437460000001</v>
      </c>
      <c r="AI33">
        <v>104.437460000001</v>
      </c>
      <c r="AJ33">
        <v>4.3337999959476197E-3</v>
      </c>
      <c r="AK33">
        <v>112.198364099996</v>
      </c>
      <c r="AL33" t="s">
        <v>240</v>
      </c>
      <c r="AM33" t="s">
        <v>221</v>
      </c>
      <c r="AN33" t="s">
        <v>222</v>
      </c>
      <c r="AO33" t="s">
        <v>77</v>
      </c>
      <c r="AP33" t="s">
        <v>78</v>
      </c>
      <c r="AQ33" t="s">
        <v>78</v>
      </c>
      <c r="AR33" t="s">
        <v>241</v>
      </c>
      <c r="AS33" t="s">
        <v>80</v>
      </c>
      <c r="AU33">
        <v>485349</v>
      </c>
      <c r="AV33">
        <v>1</v>
      </c>
      <c r="AW33" t="s">
        <v>219</v>
      </c>
      <c r="AX33" t="s">
        <v>56</v>
      </c>
      <c r="AZ33" t="s">
        <v>57</v>
      </c>
      <c r="BA33">
        <v>60.207740790110201</v>
      </c>
      <c r="BB33" t="s">
        <v>220</v>
      </c>
    </row>
    <row r="34" spans="2:54" x14ac:dyDescent="0.35">
      <c r="B34">
        <v>17</v>
      </c>
      <c r="C34">
        <v>17</v>
      </c>
      <c r="D34">
        <v>0</v>
      </c>
      <c r="F34" s="2">
        <v>1</v>
      </c>
      <c r="G34" t="s">
        <v>84</v>
      </c>
      <c r="H34" t="s">
        <v>68</v>
      </c>
      <c r="I34" t="s">
        <v>221</v>
      </c>
      <c r="J34" t="s">
        <v>222</v>
      </c>
      <c r="K34" t="s">
        <v>77</v>
      </c>
      <c r="L34" t="s">
        <v>78</v>
      </c>
      <c r="M34" t="s">
        <v>78</v>
      </c>
      <c r="N34" t="s">
        <v>242</v>
      </c>
      <c r="O34" t="s">
        <v>80</v>
      </c>
      <c r="T34">
        <v>0</v>
      </c>
      <c r="U34">
        <v>17</v>
      </c>
      <c r="V34">
        <v>17</v>
      </c>
      <c r="W34">
        <v>13</v>
      </c>
      <c r="X34">
        <v>112.225791999997</v>
      </c>
      <c r="AF34">
        <v>112.203471699991</v>
      </c>
      <c r="AG34">
        <v>112.225791999997</v>
      </c>
      <c r="AH34">
        <v>112.225791999997</v>
      </c>
      <c r="AI34">
        <v>112.225791999997</v>
      </c>
      <c r="AJ34">
        <v>4.9083000048995001E-3</v>
      </c>
      <c r="AK34">
        <v>115.81357929999599</v>
      </c>
      <c r="AL34" t="s">
        <v>68</v>
      </c>
      <c r="AM34" t="s">
        <v>221</v>
      </c>
      <c r="AN34" t="s">
        <v>222</v>
      </c>
      <c r="AO34" t="s">
        <v>77</v>
      </c>
      <c r="AP34" t="s">
        <v>78</v>
      </c>
      <c r="AQ34" t="s">
        <v>78</v>
      </c>
      <c r="AR34" t="s">
        <v>242</v>
      </c>
      <c r="AS34" t="s">
        <v>80</v>
      </c>
      <c r="AU34">
        <v>485349</v>
      </c>
      <c r="AV34">
        <v>1</v>
      </c>
      <c r="AW34" t="s">
        <v>219</v>
      </c>
      <c r="AX34" t="s">
        <v>56</v>
      </c>
      <c r="AZ34" t="s">
        <v>57</v>
      </c>
      <c r="BA34">
        <v>60.207740790110201</v>
      </c>
      <c r="BB34" t="s">
        <v>220</v>
      </c>
    </row>
    <row r="35" spans="2:54" x14ac:dyDescent="0.35">
      <c r="B35">
        <v>18</v>
      </c>
      <c r="C35">
        <v>18</v>
      </c>
      <c r="D35">
        <v>0</v>
      </c>
      <c r="F35" s="2">
        <v>1</v>
      </c>
      <c r="G35" t="s">
        <v>109</v>
      </c>
      <c r="H35" t="s">
        <v>70</v>
      </c>
      <c r="I35" t="s">
        <v>221</v>
      </c>
      <c r="J35" t="s">
        <v>222</v>
      </c>
      <c r="K35" t="s">
        <v>77</v>
      </c>
      <c r="L35" t="s">
        <v>78</v>
      </c>
      <c r="M35" t="s">
        <v>78</v>
      </c>
      <c r="N35" t="s">
        <v>243</v>
      </c>
      <c r="O35" t="s">
        <v>80</v>
      </c>
      <c r="T35">
        <v>0</v>
      </c>
      <c r="U35">
        <v>18</v>
      </c>
      <c r="V35">
        <v>18</v>
      </c>
      <c r="W35">
        <v>6</v>
      </c>
      <c r="X35">
        <v>115.83863469999</v>
      </c>
      <c r="AF35">
        <v>115.819465199994</v>
      </c>
      <c r="AG35">
        <v>115.83863469999</v>
      </c>
      <c r="AH35">
        <v>115.83863469999</v>
      </c>
      <c r="AI35">
        <v>115.83863469999</v>
      </c>
      <c r="AJ35">
        <v>5.6676000094739703E-3</v>
      </c>
      <c r="AK35">
        <v>119.781333099992</v>
      </c>
      <c r="AL35" t="s">
        <v>70</v>
      </c>
      <c r="AM35" t="s">
        <v>221</v>
      </c>
      <c r="AN35" t="s">
        <v>222</v>
      </c>
      <c r="AO35" t="s">
        <v>77</v>
      </c>
      <c r="AP35" t="s">
        <v>78</v>
      </c>
      <c r="AQ35" t="s">
        <v>78</v>
      </c>
      <c r="AR35" t="s">
        <v>243</v>
      </c>
      <c r="AS35" t="s">
        <v>80</v>
      </c>
      <c r="AU35">
        <v>485349</v>
      </c>
      <c r="AV35">
        <v>1</v>
      </c>
      <c r="AW35" t="s">
        <v>219</v>
      </c>
      <c r="AX35" t="s">
        <v>56</v>
      </c>
      <c r="AZ35" t="s">
        <v>57</v>
      </c>
      <c r="BA35">
        <v>60.207740790110201</v>
      </c>
      <c r="BB35" t="s">
        <v>220</v>
      </c>
    </row>
    <row r="36" spans="2:54" x14ac:dyDescent="0.35">
      <c r="B36">
        <v>19</v>
      </c>
      <c r="C36">
        <v>19</v>
      </c>
      <c r="D36">
        <v>0</v>
      </c>
      <c r="F36" s="2">
        <v>1</v>
      </c>
      <c r="G36" t="s">
        <v>123</v>
      </c>
      <c r="H36" t="s">
        <v>60</v>
      </c>
      <c r="I36" t="s">
        <v>221</v>
      </c>
      <c r="J36" t="s">
        <v>222</v>
      </c>
      <c r="K36" t="s">
        <v>77</v>
      </c>
      <c r="L36" t="s">
        <v>78</v>
      </c>
      <c r="M36" t="s">
        <v>78</v>
      </c>
      <c r="N36" t="s">
        <v>244</v>
      </c>
      <c r="O36" t="s">
        <v>80</v>
      </c>
      <c r="T36">
        <v>0</v>
      </c>
      <c r="U36">
        <v>19</v>
      </c>
      <c r="V36">
        <v>19</v>
      </c>
      <c r="W36">
        <v>11</v>
      </c>
      <c r="X36">
        <v>119.800596999994</v>
      </c>
      <c r="AF36">
        <v>119.785811399997</v>
      </c>
      <c r="AG36">
        <v>119.800596999994</v>
      </c>
      <c r="AH36">
        <v>119.800596999994</v>
      </c>
      <c r="AI36">
        <v>119.800596999994</v>
      </c>
      <c r="AJ36">
        <v>4.3068999948445699E-3</v>
      </c>
      <c r="AK36">
        <v>123.94677539999201</v>
      </c>
      <c r="AL36" t="s">
        <v>60</v>
      </c>
      <c r="AM36" t="s">
        <v>221</v>
      </c>
      <c r="AN36" t="s">
        <v>222</v>
      </c>
      <c r="AO36" t="s">
        <v>77</v>
      </c>
      <c r="AP36" t="s">
        <v>78</v>
      </c>
      <c r="AQ36" t="s">
        <v>78</v>
      </c>
      <c r="AR36" t="s">
        <v>244</v>
      </c>
      <c r="AS36" t="s">
        <v>80</v>
      </c>
      <c r="AU36">
        <v>485349</v>
      </c>
      <c r="AV36">
        <v>1</v>
      </c>
      <c r="AW36" t="s">
        <v>219</v>
      </c>
      <c r="AX36" t="s">
        <v>56</v>
      </c>
      <c r="AZ36" t="s">
        <v>57</v>
      </c>
      <c r="BA36">
        <v>60.207740790110201</v>
      </c>
      <c r="BB36" t="s">
        <v>220</v>
      </c>
    </row>
    <row r="38" spans="2:54" x14ac:dyDescent="0.35">
      <c r="F38" t="s">
        <v>245</v>
      </c>
      <c r="G38">
        <v>11</v>
      </c>
    </row>
    <row r="39" spans="2:54" x14ac:dyDescent="0.35">
      <c r="F39" t="s">
        <v>248</v>
      </c>
      <c r="G39">
        <v>13</v>
      </c>
    </row>
    <row r="40" spans="2:54" x14ac:dyDescent="0.35">
      <c r="F40" t="s">
        <v>250</v>
      </c>
      <c r="G40">
        <f>G38/G39</f>
        <v>0.84615384615384615</v>
      </c>
    </row>
    <row r="42" spans="2:54" x14ac:dyDescent="0.35">
      <c r="F42" t="s">
        <v>246</v>
      </c>
      <c r="G42">
        <v>4</v>
      </c>
    </row>
    <row r="43" spans="2:54" x14ac:dyDescent="0.35">
      <c r="F43" t="s">
        <v>247</v>
      </c>
      <c r="G43">
        <v>5</v>
      </c>
    </row>
    <row r="44" spans="2:54" x14ac:dyDescent="0.35">
      <c r="F44" t="s">
        <v>249</v>
      </c>
      <c r="G44">
        <f>G42/G43</f>
        <v>0.8</v>
      </c>
    </row>
    <row r="46" spans="2:54" x14ac:dyDescent="0.35">
      <c r="F46" t="s">
        <v>251</v>
      </c>
      <c r="G46">
        <f>G40-G44</f>
        <v>4.6153846153846101E-2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A99BC-1A2A-44BD-8B5F-A7A00BFCC530}">
  <dimension ref="A1:BB47"/>
  <sheetViews>
    <sheetView topLeftCell="A19" workbookViewId="0">
      <selection activeCell="F26" sqref="F26"/>
    </sheetView>
  </sheetViews>
  <sheetFormatPr defaultRowHeight="14.5" x14ac:dyDescent="0.35"/>
  <cols>
    <col min="6" max="6" width="13.81640625" customWidth="1"/>
  </cols>
  <sheetData>
    <row r="1" spans="1:5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5">
      <c r="A2" t="s">
        <v>70</v>
      </c>
      <c r="B2">
        <v>0</v>
      </c>
      <c r="C2">
        <v>0</v>
      </c>
      <c r="D2">
        <v>0</v>
      </c>
      <c r="E2">
        <v>1.09666666666666</v>
      </c>
      <c r="F2">
        <v>6.2219271999783796</v>
      </c>
      <c r="P2">
        <v>0</v>
      </c>
      <c r="Q2">
        <v>0</v>
      </c>
      <c r="R2">
        <v>0</v>
      </c>
      <c r="S2">
        <v>11</v>
      </c>
      <c r="X2">
        <v>6.5783099969848893E-2</v>
      </c>
      <c r="Z2">
        <v>4.03751999838277E-2</v>
      </c>
      <c r="AA2">
        <v>6.5783099969848893E-2</v>
      </c>
      <c r="AB2">
        <v>6.5783099969848893E-2</v>
      </c>
      <c r="AC2">
        <v>6.2799178999848602</v>
      </c>
      <c r="AD2">
        <v>1.09666666666666</v>
      </c>
      <c r="AE2">
        <v>6.2219271999783796</v>
      </c>
      <c r="AU2">
        <v>533596</v>
      </c>
      <c r="AV2">
        <v>1</v>
      </c>
      <c r="AW2" t="s">
        <v>139</v>
      </c>
      <c r="AX2" t="s">
        <v>56</v>
      </c>
      <c r="AZ2" t="s">
        <v>57</v>
      </c>
      <c r="BA2">
        <v>59.965483842028299</v>
      </c>
      <c r="BB2" t="s">
        <v>140</v>
      </c>
    </row>
    <row r="3" spans="1:54" x14ac:dyDescent="0.35">
      <c r="A3" t="s">
        <v>62</v>
      </c>
      <c r="B3">
        <v>1</v>
      </c>
      <c r="C3">
        <v>1</v>
      </c>
      <c r="D3">
        <v>0</v>
      </c>
      <c r="E3">
        <v>1.04</v>
      </c>
      <c r="F3">
        <v>2.3896089000627398</v>
      </c>
      <c r="P3">
        <v>0</v>
      </c>
      <c r="Q3">
        <v>1</v>
      </c>
      <c r="R3">
        <v>1</v>
      </c>
      <c r="S3">
        <v>12</v>
      </c>
      <c r="X3">
        <v>6.3050373999867499</v>
      </c>
      <c r="Z3">
        <v>6.28822629991918</v>
      </c>
      <c r="AA3">
        <v>6.3050373999867499</v>
      </c>
      <c r="AB3">
        <v>6.3050373999867499</v>
      </c>
      <c r="AC3">
        <v>8.6955680999672005</v>
      </c>
      <c r="AD3">
        <v>1.04</v>
      </c>
      <c r="AE3">
        <v>2.3896089000627398</v>
      </c>
      <c r="AU3">
        <v>533596</v>
      </c>
      <c r="AV3">
        <v>1</v>
      </c>
      <c r="AW3" t="s">
        <v>139</v>
      </c>
      <c r="AX3" t="s">
        <v>56</v>
      </c>
      <c r="AZ3" t="s">
        <v>57</v>
      </c>
      <c r="BA3">
        <v>59.965483842028299</v>
      </c>
      <c r="BB3" t="s">
        <v>140</v>
      </c>
    </row>
    <row r="4" spans="1:54" x14ac:dyDescent="0.35">
      <c r="A4" t="s">
        <v>59</v>
      </c>
      <c r="B4">
        <v>2</v>
      </c>
      <c r="C4">
        <v>2</v>
      </c>
      <c r="D4">
        <v>0</v>
      </c>
      <c r="E4">
        <v>1.04</v>
      </c>
      <c r="F4">
        <v>1.05357849993743</v>
      </c>
      <c r="P4">
        <v>0</v>
      </c>
      <c r="Q4">
        <v>2</v>
      </c>
      <c r="R4">
        <v>2</v>
      </c>
      <c r="S4">
        <v>8</v>
      </c>
      <c r="X4">
        <v>8.7211159999715093</v>
      </c>
      <c r="Z4">
        <v>8.7009678999893296</v>
      </c>
      <c r="AA4">
        <v>8.7211159999715093</v>
      </c>
      <c r="AB4">
        <v>8.7211159999715093</v>
      </c>
      <c r="AC4">
        <v>9.7716485999990201</v>
      </c>
      <c r="AD4">
        <v>1.04</v>
      </c>
      <c r="AE4">
        <v>1.05357849993743</v>
      </c>
      <c r="AU4">
        <v>533596</v>
      </c>
      <c r="AV4">
        <v>1</v>
      </c>
      <c r="AW4" t="s">
        <v>139</v>
      </c>
      <c r="AX4" t="s">
        <v>56</v>
      </c>
      <c r="AZ4" t="s">
        <v>57</v>
      </c>
      <c r="BA4">
        <v>59.965483842028299</v>
      </c>
      <c r="BB4" t="s">
        <v>140</v>
      </c>
    </row>
    <row r="5" spans="1:54" x14ac:dyDescent="0.35">
      <c r="A5" t="s">
        <v>61</v>
      </c>
      <c r="B5">
        <v>3</v>
      </c>
      <c r="C5">
        <v>3</v>
      </c>
      <c r="D5">
        <v>0</v>
      </c>
      <c r="E5">
        <v>1.04</v>
      </c>
      <c r="F5">
        <v>0.824694200069643</v>
      </c>
      <c r="P5">
        <v>0</v>
      </c>
      <c r="Q5">
        <v>3</v>
      </c>
      <c r="R5">
        <v>3</v>
      </c>
      <c r="S5">
        <v>9</v>
      </c>
      <c r="X5">
        <v>9.8011316999327391</v>
      </c>
      <c r="Z5">
        <v>9.7843720999080599</v>
      </c>
      <c r="AA5">
        <v>9.8011316999327391</v>
      </c>
      <c r="AB5">
        <v>9.8011316999327391</v>
      </c>
      <c r="AC5">
        <v>10.625266399933</v>
      </c>
      <c r="AD5">
        <v>1.04</v>
      </c>
      <c r="AE5">
        <v>0.824694200069643</v>
      </c>
      <c r="AU5">
        <v>533596</v>
      </c>
      <c r="AV5">
        <v>1</v>
      </c>
      <c r="AW5" t="s">
        <v>139</v>
      </c>
      <c r="AX5" t="s">
        <v>56</v>
      </c>
      <c r="AZ5" t="s">
        <v>57</v>
      </c>
      <c r="BA5">
        <v>59.965483842028299</v>
      </c>
      <c r="BB5" t="s">
        <v>140</v>
      </c>
    </row>
    <row r="6" spans="1:54" x14ac:dyDescent="0.35">
      <c r="A6" t="s">
        <v>54</v>
      </c>
      <c r="B6">
        <v>4</v>
      </c>
      <c r="C6">
        <v>4</v>
      </c>
      <c r="D6">
        <v>0</v>
      </c>
      <c r="E6">
        <v>1.04</v>
      </c>
      <c r="F6">
        <v>1.03751950000878</v>
      </c>
      <c r="P6">
        <v>0</v>
      </c>
      <c r="Q6">
        <v>4</v>
      </c>
      <c r="R6">
        <v>4</v>
      </c>
      <c r="S6">
        <v>1</v>
      </c>
      <c r="X6">
        <v>10.650399499922001</v>
      </c>
      <c r="Z6">
        <v>10.634182299952901</v>
      </c>
      <c r="AA6">
        <v>10.650399499922001</v>
      </c>
      <c r="AB6">
        <v>10.650399499922001</v>
      </c>
      <c r="AC6">
        <v>11.692735999939</v>
      </c>
      <c r="AD6">
        <v>1.04</v>
      </c>
      <c r="AE6">
        <v>1.03751950000878</v>
      </c>
      <c r="AU6">
        <v>533596</v>
      </c>
      <c r="AV6">
        <v>1</v>
      </c>
      <c r="AW6" t="s">
        <v>139</v>
      </c>
      <c r="AX6" t="s">
        <v>56</v>
      </c>
      <c r="AZ6" t="s">
        <v>57</v>
      </c>
      <c r="BA6">
        <v>59.965483842028299</v>
      </c>
      <c r="BB6" t="s">
        <v>140</v>
      </c>
    </row>
    <row r="7" spans="1:54" x14ac:dyDescent="0.35">
      <c r="A7" t="s">
        <v>68</v>
      </c>
      <c r="B7">
        <v>5</v>
      </c>
      <c r="C7">
        <v>5</v>
      </c>
      <c r="D7">
        <v>0</v>
      </c>
      <c r="E7">
        <v>1.04</v>
      </c>
      <c r="F7">
        <v>0.77722579997498498</v>
      </c>
      <c r="P7">
        <v>0</v>
      </c>
      <c r="Q7">
        <v>5</v>
      </c>
      <c r="R7">
        <v>5</v>
      </c>
      <c r="S7">
        <v>0</v>
      </c>
      <c r="X7">
        <v>11.716829299926699</v>
      </c>
      <c r="Z7">
        <v>11.698600000003299</v>
      </c>
      <c r="AA7">
        <v>11.716829299926699</v>
      </c>
      <c r="AB7">
        <v>11.716829299926699</v>
      </c>
      <c r="AC7">
        <v>12.493581500020801</v>
      </c>
      <c r="AD7">
        <v>1.04</v>
      </c>
      <c r="AE7">
        <v>0.77722579997498498</v>
      </c>
      <c r="AU7">
        <v>533596</v>
      </c>
      <c r="AV7">
        <v>1</v>
      </c>
      <c r="AW7" t="s">
        <v>139</v>
      </c>
      <c r="AX7" t="s">
        <v>56</v>
      </c>
      <c r="AZ7" t="s">
        <v>57</v>
      </c>
      <c r="BA7">
        <v>59.965483842028299</v>
      </c>
      <c r="BB7" t="s">
        <v>140</v>
      </c>
    </row>
    <row r="8" spans="1:54" x14ac:dyDescent="0.35">
      <c r="A8" t="s">
        <v>69</v>
      </c>
      <c r="B8">
        <v>6</v>
      </c>
      <c r="C8">
        <v>6</v>
      </c>
      <c r="D8">
        <v>0</v>
      </c>
      <c r="E8">
        <v>1.04</v>
      </c>
      <c r="F8">
        <v>0.75812459993176096</v>
      </c>
      <c r="P8">
        <v>0</v>
      </c>
      <c r="Q8">
        <v>6</v>
      </c>
      <c r="R8">
        <v>6</v>
      </c>
      <c r="S8">
        <v>5</v>
      </c>
      <c r="X8">
        <v>12.5167723000049</v>
      </c>
      <c r="Z8">
        <v>12.4986116000218</v>
      </c>
      <c r="AA8">
        <v>12.5167723000049</v>
      </c>
      <c r="AB8">
        <v>12.5167723000049</v>
      </c>
      <c r="AC8">
        <v>13.2775336999911</v>
      </c>
      <c r="AD8">
        <v>1.04</v>
      </c>
      <c r="AE8">
        <v>0.75812459993176096</v>
      </c>
      <c r="AU8">
        <v>533596</v>
      </c>
      <c r="AV8">
        <v>1</v>
      </c>
      <c r="AW8" t="s">
        <v>139</v>
      </c>
      <c r="AX8" t="s">
        <v>56</v>
      </c>
      <c r="AZ8" t="s">
        <v>57</v>
      </c>
      <c r="BA8">
        <v>59.965483842028299</v>
      </c>
      <c r="BB8" t="s">
        <v>140</v>
      </c>
    </row>
    <row r="9" spans="1:54" x14ac:dyDescent="0.35">
      <c r="A9" t="s">
        <v>63</v>
      </c>
      <c r="B9">
        <v>7</v>
      </c>
      <c r="C9">
        <v>7</v>
      </c>
      <c r="D9">
        <v>0</v>
      </c>
      <c r="E9">
        <v>1.04</v>
      </c>
      <c r="F9">
        <v>0.80330399994272705</v>
      </c>
      <c r="P9">
        <v>0</v>
      </c>
      <c r="Q9">
        <v>7</v>
      </c>
      <c r="R9">
        <v>7</v>
      </c>
      <c r="S9">
        <v>13</v>
      </c>
      <c r="X9">
        <v>13.3009251999901</v>
      </c>
      <c r="Z9">
        <v>13.283261299948199</v>
      </c>
      <c r="AA9">
        <v>13.3009251999901</v>
      </c>
      <c r="AB9">
        <v>13.3009251999901</v>
      </c>
      <c r="AC9">
        <v>14.1045388999627</v>
      </c>
      <c r="AD9">
        <v>1.04</v>
      </c>
      <c r="AE9">
        <v>0.80330399994272705</v>
      </c>
      <c r="AU9">
        <v>533596</v>
      </c>
      <c r="AV9">
        <v>1</v>
      </c>
      <c r="AW9" t="s">
        <v>139</v>
      </c>
      <c r="AX9" t="s">
        <v>56</v>
      </c>
      <c r="AZ9" t="s">
        <v>57</v>
      </c>
      <c r="BA9">
        <v>59.965483842028299</v>
      </c>
      <c r="BB9" t="s">
        <v>140</v>
      </c>
    </row>
    <row r="10" spans="1:54" x14ac:dyDescent="0.35">
      <c r="A10" t="s">
        <v>60</v>
      </c>
      <c r="B10">
        <v>8</v>
      </c>
      <c r="C10">
        <v>8</v>
      </c>
      <c r="D10">
        <v>0</v>
      </c>
      <c r="E10">
        <v>1.04</v>
      </c>
      <c r="F10">
        <v>1.5044385000364799</v>
      </c>
      <c r="P10">
        <v>0</v>
      </c>
      <c r="Q10">
        <v>8</v>
      </c>
      <c r="R10">
        <v>8</v>
      </c>
      <c r="S10">
        <v>3</v>
      </c>
      <c r="X10">
        <v>14.1274020000128</v>
      </c>
      <c r="Z10">
        <v>14.109600999974599</v>
      </c>
      <c r="AA10">
        <v>14.1274020000128</v>
      </c>
      <c r="AB10">
        <v>14.1274020000128</v>
      </c>
      <c r="AC10">
        <v>15.6315457000164</v>
      </c>
      <c r="AD10">
        <v>1.04</v>
      </c>
      <c r="AE10">
        <v>1.5044385000364799</v>
      </c>
      <c r="AU10">
        <v>533596</v>
      </c>
      <c r="AV10">
        <v>1</v>
      </c>
      <c r="AW10" t="s">
        <v>139</v>
      </c>
      <c r="AX10" t="s">
        <v>56</v>
      </c>
      <c r="AZ10" t="s">
        <v>57</v>
      </c>
      <c r="BA10">
        <v>59.965483842028299</v>
      </c>
      <c r="BB10" t="s">
        <v>140</v>
      </c>
    </row>
    <row r="11" spans="1:54" x14ac:dyDescent="0.35">
      <c r="A11" t="s">
        <v>66</v>
      </c>
      <c r="B11">
        <v>9</v>
      </c>
      <c r="C11">
        <v>9</v>
      </c>
      <c r="D11">
        <v>0</v>
      </c>
      <c r="E11">
        <v>1.04</v>
      </c>
      <c r="F11">
        <v>0.74754739995114505</v>
      </c>
      <c r="P11">
        <v>0</v>
      </c>
      <c r="Q11">
        <v>9</v>
      </c>
      <c r="R11">
        <v>9</v>
      </c>
      <c r="S11">
        <v>6</v>
      </c>
      <c r="X11">
        <v>15.6545499999774</v>
      </c>
      <c r="Z11">
        <v>15.6367095999885</v>
      </c>
      <c r="AA11">
        <v>15.6545499999774</v>
      </c>
      <c r="AB11">
        <v>15.6545499999774</v>
      </c>
      <c r="AC11">
        <v>16.403499600011799</v>
      </c>
      <c r="AD11">
        <v>1.04</v>
      </c>
      <c r="AE11">
        <v>0.74754739995114505</v>
      </c>
      <c r="AU11">
        <v>533596</v>
      </c>
      <c r="AV11">
        <v>1</v>
      </c>
      <c r="AW11" t="s">
        <v>139</v>
      </c>
      <c r="AX11" t="s">
        <v>56</v>
      </c>
      <c r="AZ11" t="s">
        <v>57</v>
      </c>
      <c r="BA11">
        <v>59.965483842028299</v>
      </c>
      <c r="BB11" t="s">
        <v>140</v>
      </c>
    </row>
    <row r="12" spans="1:54" x14ac:dyDescent="0.35">
      <c r="A12" t="s">
        <v>64</v>
      </c>
      <c r="B12">
        <v>10</v>
      </c>
      <c r="C12">
        <v>10</v>
      </c>
      <c r="D12">
        <v>0</v>
      </c>
      <c r="E12">
        <v>1.04</v>
      </c>
      <c r="F12">
        <v>0.85661450005136397</v>
      </c>
      <c r="P12">
        <v>0</v>
      </c>
      <c r="Q12">
        <v>10</v>
      </c>
      <c r="R12">
        <v>10</v>
      </c>
      <c r="S12">
        <v>2</v>
      </c>
      <c r="X12">
        <v>16.430885499925299</v>
      </c>
      <c r="Z12">
        <v>16.409859500010398</v>
      </c>
      <c r="AA12">
        <v>16.430885499925299</v>
      </c>
      <c r="AB12">
        <v>16.430885499925299</v>
      </c>
      <c r="AC12">
        <v>17.284751900006</v>
      </c>
      <c r="AD12">
        <v>1.04</v>
      </c>
      <c r="AE12">
        <v>0.85661450005136397</v>
      </c>
      <c r="AU12">
        <v>533596</v>
      </c>
      <c r="AV12">
        <v>1</v>
      </c>
      <c r="AW12" t="s">
        <v>139</v>
      </c>
      <c r="AX12" t="s">
        <v>56</v>
      </c>
      <c r="AZ12" t="s">
        <v>57</v>
      </c>
      <c r="BA12">
        <v>59.965483842028299</v>
      </c>
      <c r="BB12" t="s">
        <v>140</v>
      </c>
    </row>
    <row r="13" spans="1:54" x14ac:dyDescent="0.35">
      <c r="A13" t="s">
        <v>67</v>
      </c>
      <c r="B13">
        <v>11</v>
      </c>
      <c r="C13">
        <v>11</v>
      </c>
      <c r="D13">
        <v>0</v>
      </c>
      <c r="E13">
        <v>1.04</v>
      </c>
      <c r="F13">
        <v>0.76881089992821205</v>
      </c>
      <c r="P13">
        <v>0</v>
      </c>
      <c r="Q13">
        <v>11</v>
      </c>
      <c r="R13">
        <v>11</v>
      </c>
      <c r="S13">
        <v>10</v>
      </c>
      <c r="X13">
        <v>17.307646899949699</v>
      </c>
      <c r="Z13">
        <v>17.289583900012001</v>
      </c>
      <c r="AA13">
        <v>17.307646899949699</v>
      </c>
      <c r="AB13">
        <v>17.307646899949699</v>
      </c>
      <c r="AC13">
        <v>18.077478799968901</v>
      </c>
      <c r="AD13">
        <v>1.04</v>
      </c>
      <c r="AE13">
        <v>0.76881089992821205</v>
      </c>
      <c r="AU13">
        <v>533596</v>
      </c>
      <c r="AV13">
        <v>1</v>
      </c>
      <c r="AW13" t="s">
        <v>139</v>
      </c>
      <c r="AX13" t="s">
        <v>56</v>
      </c>
      <c r="AZ13" t="s">
        <v>57</v>
      </c>
      <c r="BA13">
        <v>59.965483842028299</v>
      </c>
      <c r="BB13" t="s">
        <v>140</v>
      </c>
    </row>
    <row r="14" spans="1:54" x14ac:dyDescent="0.35">
      <c r="A14" t="s">
        <v>71</v>
      </c>
      <c r="B14">
        <v>12</v>
      </c>
      <c r="C14">
        <v>12</v>
      </c>
      <c r="D14">
        <v>0</v>
      </c>
      <c r="E14">
        <v>1.04</v>
      </c>
      <c r="F14">
        <v>0.76573940005619001</v>
      </c>
      <c r="P14">
        <v>0</v>
      </c>
      <c r="Q14">
        <v>12</v>
      </c>
      <c r="R14">
        <v>12</v>
      </c>
      <c r="S14">
        <v>14</v>
      </c>
      <c r="X14">
        <v>18.099455300020001</v>
      </c>
      <c r="Z14">
        <v>18.082649099989698</v>
      </c>
      <c r="AA14">
        <v>18.099455300020001</v>
      </c>
      <c r="AB14">
        <v>18.099455300020001</v>
      </c>
      <c r="AC14">
        <v>18.864327799994498</v>
      </c>
      <c r="AD14">
        <v>1.04</v>
      </c>
      <c r="AE14">
        <v>0.76573940005619001</v>
      </c>
      <c r="AU14">
        <v>533596</v>
      </c>
      <c r="AV14">
        <v>1</v>
      </c>
      <c r="AW14" t="s">
        <v>139</v>
      </c>
      <c r="AX14" t="s">
        <v>56</v>
      </c>
      <c r="AZ14" t="s">
        <v>57</v>
      </c>
      <c r="BA14">
        <v>59.965483842028299</v>
      </c>
      <c r="BB14" t="s">
        <v>140</v>
      </c>
    </row>
    <row r="15" spans="1:54" x14ac:dyDescent="0.35">
      <c r="A15" t="s">
        <v>65</v>
      </c>
      <c r="B15">
        <v>13</v>
      </c>
      <c r="C15">
        <v>13</v>
      </c>
      <c r="D15">
        <v>0</v>
      </c>
      <c r="E15">
        <v>1.04</v>
      </c>
      <c r="F15">
        <v>0.77325199998449501</v>
      </c>
      <c r="P15">
        <v>0</v>
      </c>
      <c r="Q15">
        <v>13</v>
      </c>
      <c r="R15">
        <v>13</v>
      </c>
      <c r="S15">
        <v>7</v>
      </c>
      <c r="X15">
        <v>18.8901036999886</v>
      </c>
      <c r="Z15">
        <v>18.873935099923902</v>
      </c>
      <c r="AA15">
        <v>18.8901036999886</v>
      </c>
      <c r="AB15">
        <v>18.8901036999886</v>
      </c>
      <c r="AC15">
        <v>19.663144699996302</v>
      </c>
      <c r="AD15">
        <v>1.04</v>
      </c>
      <c r="AE15">
        <v>0.77325199998449501</v>
      </c>
      <c r="AU15">
        <v>533596</v>
      </c>
      <c r="AV15">
        <v>1</v>
      </c>
      <c r="AW15" t="s">
        <v>139</v>
      </c>
      <c r="AX15" t="s">
        <v>56</v>
      </c>
      <c r="AZ15" t="s">
        <v>57</v>
      </c>
      <c r="BA15">
        <v>59.965483842028299</v>
      </c>
      <c r="BB15" t="s">
        <v>140</v>
      </c>
    </row>
    <row r="16" spans="1:54" x14ac:dyDescent="0.35">
      <c r="A16" t="s">
        <v>72</v>
      </c>
      <c r="B16">
        <v>14</v>
      </c>
      <c r="C16">
        <v>14</v>
      </c>
      <c r="D16">
        <v>0</v>
      </c>
      <c r="E16">
        <v>1.04</v>
      </c>
      <c r="F16">
        <v>0.87758450000546795</v>
      </c>
      <c r="P16">
        <v>0</v>
      </c>
      <c r="Q16">
        <v>14</v>
      </c>
      <c r="R16">
        <v>14</v>
      </c>
      <c r="S16">
        <v>4</v>
      </c>
      <c r="X16">
        <v>19.687219099956501</v>
      </c>
      <c r="Z16">
        <v>19.670828699949102</v>
      </c>
      <c r="AA16">
        <v>19.687219099956501</v>
      </c>
      <c r="AB16">
        <v>19.687219099956501</v>
      </c>
      <c r="AC16">
        <v>20.564347499981501</v>
      </c>
      <c r="AD16">
        <v>1.04</v>
      </c>
      <c r="AE16">
        <v>0.87758450000546795</v>
      </c>
      <c r="AU16">
        <v>533596</v>
      </c>
      <c r="AV16">
        <v>1</v>
      </c>
      <c r="AW16" t="s">
        <v>139</v>
      </c>
      <c r="AX16" t="s">
        <v>56</v>
      </c>
      <c r="AZ16" t="s">
        <v>57</v>
      </c>
      <c r="BA16">
        <v>59.965483842028299</v>
      </c>
      <c r="BB16" t="s">
        <v>140</v>
      </c>
    </row>
    <row r="17" spans="2:54" x14ac:dyDescent="0.35">
      <c r="B17">
        <v>0</v>
      </c>
      <c r="C17">
        <v>0</v>
      </c>
      <c r="D17">
        <v>0</v>
      </c>
      <c r="F17" s="2">
        <v>1</v>
      </c>
      <c r="G17" t="s">
        <v>94</v>
      </c>
      <c r="H17" t="s">
        <v>59</v>
      </c>
      <c r="I17" t="s">
        <v>141</v>
      </c>
      <c r="J17" t="s">
        <v>142</v>
      </c>
      <c r="K17" t="s">
        <v>77</v>
      </c>
      <c r="L17" t="s">
        <v>78</v>
      </c>
      <c r="M17" t="s">
        <v>78</v>
      </c>
      <c r="N17" t="s">
        <v>143</v>
      </c>
      <c r="O17" t="s">
        <v>80</v>
      </c>
      <c r="T17">
        <v>0</v>
      </c>
      <c r="U17">
        <v>0</v>
      </c>
      <c r="V17">
        <v>0</v>
      </c>
      <c r="W17">
        <v>3</v>
      </c>
      <c r="X17">
        <v>20.603489900007801</v>
      </c>
      <c r="AF17">
        <v>20.5838170999195</v>
      </c>
      <c r="AG17">
        <v>20.603489900007801</v>
      </c>
      <c r="AH17">
        <v>20.603489900007801</v>
      </c>
      <c r="AI17">
        <v>20.603489900007801</v>
      </c>
      <c r="AJ17">
        <v>1.9468899932689899E-2</v>
      </c>
      <c r="AK17">
        <v>25.8605887999292</v>
      </c>
      <c r="AL17" t="s">
        <v>59</v>
      </c>
      <c r="AM17" t="s">
        <v>141</v>
      </c>
      <c r="AN17" t="s">
        <v>142</v>
      </c>
      <c r="AO17" t="s">
        <v>77</v>
      </c>
      <c r="AP17" t="s">
        <v>78</v>
      </c>
      <c r="AQ17" t="s">
        <v>78</v>
      </c>
      <c r="AR17" t="s">
        <v>143</v>
      </c>
      <c r="AS17" t="s">
        <v>80</v>
      </c>
      <c r="AU17">
        <v>533596</v>
      </c>
      <c r="AV17">
        <v>1</v>
      </c>
      <c r="AW17" t="s">
        <v>139</v>
      </c>
      <c r="AX17" t="s">
        <v>56</v>
      </c>
      <c r="AZ17" t="s">
        <v>57</v>
      </c>
      <c r="BA17">
        <v>59.965483842028299</v>
      </c>
      <c r="BB17" t="s">
        <v>140</v>
      </c>
    </row>
    <row r="18" spans="2:54" x14ac:dyDescent="0.35">
      <c r="B18">
        <v>1</v>
      </c>
      <c r="C18">
        <v>1</v>
      </c>
      <c r="D18">
        <v>0</v>
      </c>
      <c r="F18" s="5">
        <v>1</v>
      </c>
      <c r="G18" s="6" t="s">
        <v>125</v>
      </c>
      <c r="H18" s="6" t="s">
        <v>126</v>
      </c>
      <c r="I18" t="s">
        <v>144</v>
      </c>
      <c r="J18" t="s">
        <v>145</v>
      </c>
      <c r="K18" t="s">
        <v>77</v>
      </c>
      <c r="L18" t="s">
        <v>78</v>
      </c>
      <c r="M18" t="s">
        <v>78</v>
      </c>
      <c r="N18" t="s">
        <v>146</v>
      </c>
      <c r="O18" t="s">
        <v>80</v>
      </c>
      <c r="T18">
        <v>0</v>
      </c>
      <c r="U18">
        <v>1</v>
      </c>
      <c r="V18">
        <v>1</v>
      </c>
      <c r="W18">
        <v>17</v>
      </c>
      <c r="X18">
        <v>25.8948889999883</v>
      </c>
      <c r="AF18">
        <v>25.874102999921799</v>
      </c>
      <c r="AG18">
        <v>25.8948889999883</v>
      </c>
      <c r="AH18">
        <v>25.8948889999883</v>
      </c>
      <c r="AI18">
        <v>25.8948889999883</v>
      </c>
      <c r="AJ18">
        <v>1.3217599946074099E-2</v>
      </c>
      <c r="AK18">
        <v>30.300049599958498</v>
      </c>
      <c r="AL18" t="s">
        <v>126</v>
      </c>
      <c r="AM18" t="s">
        <v>144</v>
      </c>
      <c r="AN18" t="s">
        <v>145</v>
      </c>
      <c r="AO18" t="s">
        <v>77</v>
      </c>
      <c r="AP18" t="s">
        <v>78</v>
      </c>
      <c r="AQ18" t="s">
        <v>78</v>
      </c>
      <c r="AR18" t="s">
        <v>146</v>
      </c>
      <c r="AS18" t="s">
        <v>80</v>
      </c>
      <c r="AU18">
        <v>533596</v>
      </c>
      <c r="AV18">
        <v>1</v>
      </c>
      <c r="AW18" t="s">
        <v>139</v>
      </c>
      <c r="AX18" t="s">
        <v>56</v>
      </c>
      <c r="AZ18" t="s">
        <v>57</v>
      </c>
      <c r="BA18">
        <v>59.965483842028299</v>
      </c>
      <c r="BB18" t="s">
        <v>140</v>
      </c>
    </row>
    <row r="19" spans="2:54" x14ac:dyDescent="0.35">
      <c r="B19">
        <v>2</v>
      </c>
      <c r="C19">
        <v>2</v>
      </c>
      <c r="D19">
        <v>0</v>
      </c>
      <c r="F19" s="2">
        <v>1</v>
      </c>
      <c r="G19" t="s">
        <v>103</v>
      </c>
      <c r="H19" t="s">
        <v>64</v>
      </c>
      <c r="I19" t="s">
        <v>144</v>
      </c>
      <c r="J19" t="s">
        <v>145</v>
      </c>
      <c r="K19" t="s">
        <v>77</v>
      </c>
      <c r="L19" t="s">
        <v>78</v>
      </c>
      <c r="M19" t="s">
        <v>78</v>
      </c>
      <c r="N19" t="s">
        <v>147</v>
      </c>
      <c r="O19" t="s">
        <v>80</v>
      </c>
      <c r="T19">
        <v>0</v>
      </c>
      <c r="U19">
        <v>2</v>
      </c>
      <c r="V19">
        <v>2</v>
      </c>
      <c r="W19">
        <v>12</v>
      </c>
      <c r="X19">
        <v>30.324747700011301</v>
      </c>
      <c r="AF19">
        <v>30.304568399908</v>
      </c>
      <c r="AG19">
        <v>30.324747700011301</v>
      </c>
      <c r="AH19">
        <v>30.324747700011301</v>
      </c>
      <c r="AI19">
        <v>30.324747700011301</v>
      </c>
      <c r="AJ19">
        <v>4.3234999757259997E-3</v>
      </c>
      <c r="AK19">
        <v>46.3216635999269</v>
      </c>
      <c r="AM19" t="s">
        <v>144</v>
      </c>
      <c r="AN19" t="s">
        <v>145</v>
      </c>
      <c r="AO19" t="s">
        <v>77</v>
      </c>
      <c r="AP19" t="s">
        <v>78</v>
      </c>
      <c r="AQ19" t="s">
        <v>78</v>
      </c>
      <c r="AR19" t="s">
        <v>147</v>
      </c>
      <c r="AS19" t="s">
        <v>80</v>
      </c>
      <c r="AT19">
        <v>40.336262499913502</v>
      </c>
      <c r="AU19">
        <v>533596</v>
      </c>
      <c r="AV19">
        <v>1</v>
      </c>
      <c r="AW19" t="s">
        <v>139</v>
      </c>
      <c r="AX19" t="s">
        <v>56</v>
      </c>
      <c r="AZ19" t="s">
        <v>57</v>
      </c>
      <c r="BA19">
        <v>59.965483842028299</v>
      </c>
      <c r="BB19" t="s">
        <v>140</v>
      </c>
    </row>
    <row r="20" spans="2:54" x14ac:dyDescent="0.35">
      <c r="B20">
        <v>3</v>
      </c>
      <c r="C20">
        <v>3</v>
      </c>
      <c r="D20">
        <v>0</v>
      </c>
      <c r="F20" s="2"/>
      <c r="G20" t="s">
        <v>190</v>
      </c>
      <c r="I20" t="s">
        <v>144</v>
      </c>
      <c r="J20" t="s">
        <v>145</v>
      </c>
      <c r="K20" t="s">
        <v>77</v>
      </c>
      <c r="L20" t="s">
        <v>78</v>
      </c>
      <c r="M20" t="s">
        <v>78</v>
      </c>
      <c r="N20" t="s">
        <v>148</v>
      </c>
      <c r="O20" t="s">
        <v>80</v>
      </c>
      <c r="T20">
        <v>0</v>
      </c>
      <c r="U20">
        <v>3</v>
      </c>
      <c r="V20">
        <v>3</v>
      </c>
      <c r="W20">
        <v>4</v>
      </c>
      <c r="X20">
        <v>46.344318999908801</v>
      </c>
      <c r="AF20">
        <v>46.327399799949397</v>
      </c>
      <c r="AG20">
        <v>46.344318999908801</v>
      </c>
      <c r="AH20">
        <v>46.344318999908801</v>
      </c>
      <c r="AI20">
        <v>46.344318999908801</v>
      </c>
      <c r="AJ20">
        <v>5.5088999215513398E-3</v>
      </c>
      <c r="AK20">
        <v>60.9889793000184</v>
      </c>
      <c r="AM20" t="s">
        <v>144</v>
      </c>
      <c r="AN20" t="s">
        <v>145</v>
      </c>
      <c r="AO20" t="s">
        <v>77</v>
      </c>
      <c r="AP20" t="s">
        <v>78</v>
      </c>
      <c r="AQ20" t="s">
        <v>78</v>
      </c>
      <c r="AR20" t="s">
        <v>148</v>
      </c>
      <c r="AS20" t="s">
        <v>80</v>
      </c>
      <c r="AT20">
        <v>56.359742200002003</v>
      </c>
      <c r="AU20">
        <v>533596</v>
      </c>
      <c r="AV20">
        <v>1</v>
      </c>
      <c r="AW20" t="s">
        <v>139</v>
      </c>
      <c r="AX20" t="s">
        <v>56</v>
      </c>
      <c r="AZ20" t="s">
        <v>57</v>
      </c>
      <c r="BA20">
        <v>59.965483842028299</v>
      </c>
      <c r="BB20" t="s">
        <v>140</v>
      </c>
    </row>
    <row r="21" spans="2:54" x14ac:dyDescent="0.35">
      <c r="B21">
        <v>4</v>
      </c>
      <c r="C21">
        <v>4</v>
      </c>
      <c r="D21">
        <v>0</v>
      </c>
      <c r="F21" s="5">
        <v>1</v>
      </c>
      <c r="G21" s="6" t="s">
        <v>73</v>
      </c>
      <c r="H21" s="6" t="s">
        <v>74</v>
      </c>
      <c r="I21" t="s">
        <v>149</v>
      </c>
      <c r="J21" t="s">
        <v>142</v>
      </c>
      <c r="K21" t="s">
        <v>77</v>
      </c>
      <c r="L21" t="s">
        <v>78</v>
      </c>
      <c r="M21" t="s">
        <v>78</v>
      </c>
      <c r="N21" t="s">
        <v>150</v>
      </c>
      <c r="O21" t="s">
        <v>80</v>
      </c>
      <c r="T21">
        <v>0</v>
      </c>
      <c r="U21">
        <v>4</v>
      </c>
      <c r="V21">
        <v>4</v>
      </c>
      <c r="W21">
        <v>16</v>
      </c>
      <c r="X21">
        <v>61.010891899932098</v>
      </c>
      <c r="AF21">
        <v>60.993582899914998</v>
      </c>
      <c r="AG21">
        <v>61.010891899932098</v>
      </c>
      <c r="AH21">
        <v>61.010891899932098</v>
      </c>
      <c r="AI21">
        <v>61.010891899932098</v>
      </c>
      <c r="AJ21">
        <v>4.4289999641478001E-3</v>
      </c>
      <c r="AK21">
        <v>72.422642899909903</v>
      </c>
      <c r="AL21" t="s">
        <v>74</v>
      </c>
      <c r="AM21" t="s">
        <v>149</v>
      </c>
      <c r="AN21" t="s">
        <v>142</v>
      </c>
      <c r="AO21" t="s">
        <v>77</v>
      </c>
      <c r="AP21" t="s">
        <v>78</v>
      </c>
      <c r="AQ21" t="s">
        <v>78</v>
      </c>
      <c r="AR21" t="s">
        <v>150</v>
      </c>
      <c r="AS21" t="s">
        <v>80</v>
      </c>
      <c r="AT21">
        <v>71.019814100000005</v>
      </c>
      <c r="AU21">
        <v>533596</v>
      </c>
      <c r="AV21">
        <v>1</v>
      </c>
      <c r="AW21" t="s">
        <v>139</v>
      </c>
      <c r="AX21" t="s">
        <v>56</v>
      </c>
      <c r="AZ21" t="s">
        <v>57</v>
      </c>
      <c r="BA21">
        <v>59.965483842028299</v>
      </c>
      <c r="BB21" t="s">
        <v>140</v>
      </c>
    </row>
    <row r="22" spans="2:54" x14ac:dyDescent="0.35">
      <c r="B22">
        <v>5</v>
      </c>
      <c r="C22">
        <v>5</v>
      </c>
      <c r="D22">
        <v>0</v>
      </c>
      <c r="F22" s="5">
        <v>1</v>
      </c>
      <c r="G22" s="6" t="s">
        <v>98</v>
      </c>
      <c r="H22" s="6" t="s">
        <v>151</v>
      </c>
      <c r="I22" t="s">
        <v>152</v>
      </c>
      <c r="J22" t="s">
        <v>153</v>
      </c>
      <c r="K22" t="s">
        <v>77</v>
      </c>
      <c r="L22" t="s">
        <v>78</v>
      </c>
      <c r="M22" t="s">
        <v>78</v>
      </c>
      <c r="N22" t="s">
        <v>154</v>
      </c>
      <c r="O22" t="s">
        <v>80</v>
      </c>
      <c r="T22">
        <v>0</v>
      </c>
      <c r="U22">
        <v>5</v>
      </c>
      <c r="V22">
        <v>5</v>
      </c>
      <c r="W22">
        <v>15</v>
      </c>
      <c r="X22">
        <v>72.443815100006702</v>
      </c>
      <c r="AF22">
        <v>72.426802899921299</v>
      </c>
      <c r="AG22">
        <v>72.443815100006702</v>
      </c>
      <c r="AH22">
        <v>72.443815100006702</v>
      </c>
      <c r="AI22">
        <v>72.443815100006702</v>
      </c>
      <c r="AJ22">
        <v>3.9813999319448998E-3</v>
      </c>
      <c r="AK22">
        <v>78.553629399975705</v>
      </c>
      <c r="AL22" t="s">
        <v>151</v>
      </c>
      <c r="AM22" t="s">
        <v>152</v>
      </c>
      <c r="AN22" t="s">
        <v>153</v>
      </c>
      <c r="AO22" t="s">
        <v>77</v>
      </c>
      <c r="AP22" t="s">
        <v>78</v>
      </c>
      <c r="AQ22" t="s">
        <v>78</v>
      </c>
      <c r="AR22" t="s">
        <v>154</v>
      </c>
      <c r="AS22" t="s">
        <v>80</v>
      </c>
      <c r="AU22">
        <v>533596</v>
      </c>
      <c r="AV22">
        <v>1</v>
      </c>
      <c r="AW22" t="s">
        <v>139</v>
      </c>
      <c r="AX22" t="s">
        <v>56</v>
      </c>
      <c r="AZ22" t="s">
        <v>57</v>
      </c>
      <c r="BA22">
        <v>59.965483842028299</v>
      </c>
      <c r="BB22" t="s">
        <v>140</v>
      </c>
    </row>
    <row r="23" spans="2:54" x14ac:dyDescent="0.35">
      <c r="B23">
        <v>6</v>
      </c>
      <c r="C23">
        <v>6</v>
      </c>
      <c r="D23">
        <v>0</v>
      </c>
      <c r="F23" s="2">
        <v>1</v>
      </c>
      <c r="G23" t="s">
        <v>113</v>
      </c>
      <c r="H23" t="s">
        <v>66</v>
      </c>
      <c r="I23" t="s">
        <v>155</v>
      </c>
      <c r="J23" t="s">
        <v>131</v>
      </c>
      <c r="K23" t="s">
        <v>77</v>
      </c>
      <c r="L23" t="s">
        <v>78</v>
      </c>
      <c r="M23" t="s">
        <v>78</v>
      </c>
      <c r="N23" t="s">
        <v>156</v>
      </c>
      <c r="O23" t="s">
        <v>80</v>
      </c>
      <c r="T23">
        <v>0</v>
      </c>
      <c r="U23">
        <v>6</v>
      </c>
      <c r="V23">
        <v>6</v>
      </c>
      <c r="W23">
        <v>1</v>
      </c>
      <c r="X23">
        <v>78.575760999927297</v>
      </c>
      <c r="AF23">
        <v>78.558384999981996</v>
      </c>
      <c r="AG23">
        <v>78.575760999927297</v>
      </c>
      <c r="AH23">
        <v>78.575760999927297</v>
      </c>
      <c r="AI23">
        <v>78.575760999927297</v>
      </c>
      <c r="AJ23">
        <v>4.5381999807432198E-3</v>
      </c>
      <c r="AK23">
        <v>89.722605799906802</v>
      </c>
      <c r="AM23" t="s">
        <v>155</v>
      </c>
      <c r="AN23" t="s">
        <v>131</v>
      </c>
      <c r="AO23" t="s">
        <v>77</v>
      </c>
      <c r="AP23" t="s">
        <v>78</v>
      </c>
      <c r="AQ23" t="s">
        <v>78</v>
      </c>
      <c r="AR23" t="s">
        <v>156</v>
      </c>
      <c r="AS23" t="s">
        <v>80</v>
      </c>
      <c r="AT23">
        <v>88.587632199982096</v>
      </c>
      <c r="AU23">
        <v>533596</v>
      </c>
      <c r="AV23">
        <v>1</v>
      </c>
      <c r="AW23" t="s">
        <v>139</v>
      </c>
      <c r="AX23" t="s">
        <v>56</v>
      </c>
      <c r="AZ23" t="s">
        <v>57</v>
      </c>
      <c r="BA23">
        <v>59.965483842028299</v>
      </c>
      <c r="BB23" t="s">
        <v>140</v>
      </c>
    </row>
    <row r="24" spans="2:54" x14ac:dyDescent="0.35">
      <c r="B24">
        <v>7</v>
      </c>
      <c r="C24">
        <v>7</v>
      </c>
      <c r="D24">
        <v>0</v>
      </c>
      <c r="F24" s="5">
        <v>1</v>
      </c>
      <c r="G24" s="6" t="s">
        <v>81</v>
      </c>
      <c r="H24" s="6" t="s">
        <v>82</v>
      </c>
      <c r="I24" t="s">
        <v>157</v>
      </c>
      <c r="J24" t="s">
        <v>131</v>
      </c>
      <c r="K24" t="s">
        <v>77</v>
      </c>
      <c r="L24" t="s">
        <v>78</v>
      </c>
      <c r="M24" t="s">
        <v>78</v>
      </c>
      <c r="N24" t="s">
        <v>158</v>
      </c>
      <c r="O24" t="s">
        <v>80</v>
      </c>
      <c r="T24">
        <v>0</v>
      </c>
      <c r="U24">
        <v>7</v>
      </c>
      <c r="V24">
        <v>7</v>
      </c>
      <c r="W24">
        <v>19</v>
      </c>
      <c r="X24">
        <v>89.743652799981604</v>
      </c>
      <c r="AF24">
        <v>89.726955799967897</v>
      </c>
      <c r="AG24">
        <v>89.743652799981604</v>
      </c>
      <c r="AH24">
        <v>89.743652799981604</v>
      </c>
      <c r="AI24">
        <v>89.743652799981604</v>
      </c>
      <c r="AJ24">
        <v>4.1775000281631903E-3</v>
      </c>
      <c r="AK24">
        <v>93.7383520000148</v>
      </c>
      <c r="AL24" t="s">
        <v>82</v>
      </c>
      <c r="AM24" t="s">
        <v>157</v>
      </c>
      <c r="AN24" t="s">
        <v>131</v>
      </c>
      <c r="AO24" t="s">
        <v>77</v>
      </c>
      <c r="AP24" t="s">
        <v>78</v>
      </c>
      <c r="AQ24" t="s">
        <v>78</v>
      </c>
      <c r="AR24" t="s">
        <v>158</v>
      </c>
      <c r="AS24" t="s">
        <v>80</v>
      </c>
      <c r="AU24">
        <v>533596</v>
      </c>
      <c r="AV24">
        <v>1</v>
      </c>
      <c r="AW24" t="s">
        <v>139</v>
      </c>
      <c r="AX24" t="s">
        <v>56</v>
      </c>
      <c r="AZ24" t="s">
        <v>57</v>
      </c>
      <c r="BA24">
        <v>59.965483842028299</v>
      </c>
      <c r="BB24" t="s">
        <v>140</v>
      </c>
    </row>
    <row r="25" spans="2:54" x14ac:dyDescent="0.35">
      <c r="B25">
        <v>8</v>
      </c>
      <c r="C25">
        <v>8</v>
      </c>
      <c r="D25">
        <v>0</v>
      </c>
      <c r="F25" s="2">
        <v>1</v>
      </c>
      <c r="G25" t="s">
        <v>101</v>
      </c>
      <c r="H25" t="s">
        <v>63</v>
      </c>
      <c r="I25" t="s">
        <v>159</v>
      </c>
      <c r="J25" t="s">
        <v>160</v>
      </c>
      <c r="K25" t="s">
        <v>77</v>
      </c>
      <c r="L25" t="s">
        <v>78</v>
      </c>
      <c r="M25" t="s">
        <v>78</v>
      </c>
      <c r="N25" t="s">
        <v>161</v>
      </c>
      <c r="O25" t="s">
        <v>80</v>
      </c>
      <c r="T25">
        <v>0</v>
      </c>
      <c r="U25">
        <v>8</v>
      </c>
      <c r="V25">
        <v>8</v>
      </c>
      <c r="W25">
        <v>8</v>
      </c>
      <c r="X25">
        <v>93.764474499970603</v>
      </c>
      <c r="AF25">
        <v>93.745777899981405</v>
      </c>
      <c r="AG25">
        <v>93.764474499970603</v>
      </c>
      <c r="AH25">
        <v>93.764474499970603</v>
      </c>
      <c r="AI25">
        <v>93.764474499970603</v>
      </c>
      <c r="AJ25">
        <v>7.2121000848710502E-3</v>
      </c>
      <c r="AK25">
        <v>97.379746599937704</v>
      </c>
      <c r="AL25" t="s">
        <v>63</v>
      </c>
      <c r="AM25" t="s">
        <v>159</v>
      </c>
      <c r="AN25" t="s">
        <v>160</v>
      </c>
      <c r="AO25" t="s">
        <v>77</v>
      </c>
      <c r="AP25" t="s">
        <v>78</v>
      </c>
      <c r="AQ25" t="s">
        <v>78</v>
      </c>
      <c r="AR25" t="s">
        <v>161</v>
      </c>
      <c r="AS25" t="s">
        <v>80</v>
      </c>
      <c r="AU25">
        <v>533596</v>
      </c>
      <c r="AV25">
        <v>1</v>
      </c>
      <c r="AW25" t="s">
        <v>139</v>
      </c>
      <c r="AX25" t="s">
        <v>56</v>
      </c>
      <c r="AZ25" t="s">
        <v>57</v>
      </c>
      <c r="BA25">
        <v>59.965483842028299</v>
      </c>
      <c r="BB25" t="s">
        <v>140</v>
      </c>
    </row>
    <row r="26" spans="2:54" x14ac:dyDescent="0.35">
      <c r="B26">
        <v>9</v>
      </c>
      <c r="C26">
        <v>9</v>
      </c>
      <c r="D26">
        <v>0</v>
      </c>
      <c r="F26" s="2">
        <v>1</v>
      </c>
      <c r="G26" t="s">
        <v>128</v>
      </c>
      <c r="H26" t="s">
        <v>162</v>
      </c>
      <c r="I26" t="s">
        <v>163</v>
      </c>
      <c r="J26" t="s">
        <v>164</v>
      </c>
      <c r="K26" t="s">
        <v>77</v>
      </c>
      <c r="L26" t="s">
        <v>78</v>
      </c>
      <c r="M26" t="s">
        <v>78</v>
      </c>
      <c r="N26" t="s">
        <v>165</v>
      </c>
      <c r="O26" t="s">
        <v>80</v>
      </c>
      <c r="T26">
        <v>0</v>
      </c>
      <c r="U26">
        <v>9</v>
      </c>
      <c r="V26">
        <v>9</v>
      </c>
      <c r="W26">
        <v>7</v>
      </c>
      <c r="X26">
        <v>97.400101299979696</v>
      </c>
      <c r="AF26">
        <v>97.384216799982795</v>
      </c>
      <c r="AG26">
        <v>97.400101299979696</v>
      </c>
      <c r="AH26">
        <v>97.400101299979696</v>
      </c>
      <c r="AI26">
        <v>97.400101299979696</v>
      </c>
      <c r="AJ26">
        <v>4.2955999961122801E-3</v>
      </c>
      <c r="AK26">
        <v>101.46245999995099</v>
      </c>
      <c r="AL26" t="s">
        <v>162</v>
      </c>
      <c r="AM26" t="s">
        <v>163</v>
      </c>
      <c r="AN26" t="s">
        <v>164</v>
      </c>
      <c r="AO26" t="s">
        <v>77</v>
      </c>
      <c r="AP26" t="s">
        <v>78</v>
      </c>
      <c r="AQ26" t="s">
        <v>78</v>
      </c>
      <c r="AR26" t="s">
        <v>165</v>
      </c>
      <c r="AS26" t="s">
        <v>80</v>
      </c>
      <c r="AU26">
        <v>533596</v>
      </c>
      <c r="AV26">
        <v>1</v>
      </c>
      <c r="AW26" t="s">
        <v>139</v>
      </c>
      <c r="AX26" t="s">
        <v>56</v>
      </c>
      <c r="AZ26" t="s">
        <v>57</v>
      </c>
      <c r="BA26">
        <v>59.965483842028299</v>
      </c>
      <c r="BB26" t="s">
        <v>140</v>
      </c>
    </row>
    <row r="27" spans="2:54" x14ac:dyDescent="0.35">
      <c r="B27">
        <v>10</v>
      </c>
      <c r="C27">
        <v>10</v>
      </c>
      <c r="D27">
        <v>0</v>
      </c>
      <c r="F27" s="2">
        <v>1</v>
      </c>
      <c r="G27" t="s">
        <v>106</v>
      </c>
      <c r="H27" t="s">
        <v>107</v>
      </c>
      <c r="I27" t="s">
        <v>166</v>
      </c>
      <c r="J27" t="s">
        <v>160</v>
      </c>
      <c r="K27" t="s">
        <v>77</v>
      </c>
      <c r="L27" t="s">
        <v>78</v>
      </c>
      <c r="M27" t="s">
        <v>78</v>
      </c>
      <c r="N27" t="s">
        <v>167</v>
      </c>
      <c r="O27" t="s">
        <v>80</v>
      </c>
      <c r="T27">
        <v>0</v>
      </c>
      <c r="U27">
        <v>10</v>
      </c>
      <c r="V27">
        <v>10</v>
      </c>
      <c r="W27">
        <v>5</v>
      </c>
      <c r="X27">
        <v>101.493026299984</v>
      </c>
      <c r="AF27">
        <v>101.469596799928</v>
      </c>
      <c r="AG27">
        <v>101.493026299984</v>
      </c>
      <c r="AH27">
        <v>101.493026299984</v>
      </c>
      <c r="AI27">
        <v>101.493026299984</v>
      </c>
      <c r="AJ27">
        <v>6.8510000128298998E-3</v>
      </c>
      <c r="AK27">
        <v>106.086668499978</v>
      </c>
      <c r="AL27" t="s">
        <v>107</v>
      </c>
      <c r="AM27" t="s">
        <v>166</v>
      </c>
      <c r="AN27" t="s">
        <v>160</v>
      </c>
      <c r="AO27" t="s">
        <v>77</v>
      </c>
      <c r="AP27" t="s">
        <v>78</v>
      </c>
      <c r="AQ27" t="s">
        <v>78</v>
      </c>
      <c r="AR27" t="s">
        <v>167</v>
      </c>
      <c r="AS27" t="s">
        <v>80</v>
      </c>
      <c r="AU27">
        <v>533596</v>
      </c>
      <c r="AV27">
        <v>1</v>
      </c>
      <c r="AW27" t="s">
        <v>139</v>
      </c>
      <c r="AX27" t="s">
        <v>56</v>
      </c>
      <c r="AZ27" t="s">
        <v>57</v>
      </c>
      <c r="BA27">
        <v>59.965483842028299</v>
      </c>
      <c r="BB27" t="s">
        <v>140</v>
      </c>
    </row>
    <row r="28" spans="2:54" x14ac:dyDescent="0.35">
      <c r="B28">
        <v>11</v>
      </c>
      <c r="C28">
        <v>11</v>
      </c>
      <c r="D28">
        <v>0</v>
      </c>
      <c r="F28" s="2"/>
      <c r="G28" t="s">
        <v>118</v>
      </c>
      <c r="I28" t="s">
        <v>168</v>
      </c>
      <c r="J28" t="s">
        <v>169</v>
      </c>
      <c r="K28" t="s">
        <v>77</v>
      </c>
      <c r="L28" t="s">
        <v>78</v>
      </c>
      <c r="M28" t="s">
        <v>78</v>
      </c>
      <c r="N28" t="s">
        <v>170</v>
      </c>
      <c r="O28" t="s">
        <v>80</v>
      </c>
      <c r="T28">
        <v>0</v>
      </c>
      <c r="U28">
        <v>11</v>
      </c>
      <c r="V28">
        <v>11</v>
      </c>
      <c r="W28">
        <v>14</v>
      </c>
      <c r="X28">
        <v>106.11815679993001</v>
      </c>
      <c r="AF28">
        <v>106.094196699908</v>
      </c>
      <c r="AG28">
        <v>106.11815679993001</v>
      </c>
      <c r="AH28">
        <v>106.11815679993001</v>
      </c>
      <c r="AI28">
        <v>106.11815679993001</v>
      </c>
      <c r="AJ28">
        <v>7.3702000081539102E-3</v>
      </c>
      <c r="AK28">
        <v>115.424670899985</v>
      </c>
      <c r="AM28" t="s">
        <v>168</v>
      </c>
      <c r="AN28" t="s">
        <v>169</v>
      </c>
      <c r="AO28" t="s">
        <v>77</v>
      </c>
      <c r="AP28" t="s">
        <v>78</v>
      </c>
      <c r="AQ28" t="s">
        <v>78</v>
      </c>
      <c r="AR28" t="s">
        <v>170</v>
      </c>
      <c r="AS28" t="s">
        <v>80</v>
      </c>
      <c r="AU28">
        <v>533596</v>
      </c>
      <c r="AV28">
        <v>1</v>
      </c>
      <c r="AW28" t="s">
        <v>139</v>
      </c>
      <c r="AX28" t="s">
        <v>56</v>
      </c>
      <c r="AZ28" t="s">
        <v>57</v>
      </c>
      <c r="BA28">
        <v>59.965483842028299</v>
      </c>
      <c r="BB28" t="s">
        <v>140</v>
      </c>
    </row>
    <row r="29" spans="2:54" x14ac:dyDescent="0.35">
      <c r="B29">
        <v>12</v>
      </c>
      <c r="C29">
        <v>12</v>
      </c>
      <c r="D29">
        <v>0</v>
      </c>
      <c r="F29" s="2">
        <v>1</v>
      </c>
      <c r="G29" t="s">
        <v>84</v>
      </c>
      <c r="H29" t="s">
        <v>68</v>
      </c>
      <c r="I29" t="s">
        <v>171</v>
      </c>
      <c r="J29" t="s">
        <v>172</v>
      </c>
      <c r="K29" t="s">
        <v>77</v>
      </c>
      <c r="L29" t="s">
        <v>78</v>
      </c>
      <c r="M29" t="s">
        <v>78</v>
      </c>
      <c r="N29" t="s">
        <v>173</v>
      </c>
      <c r="O29" t="s">
        <v>80</v>
      </c>
      <c r="T29">
        <v>0</v>
      </c>
      <c r="U29">
        <v>12</v>
      </c>
      <c r="V29">
        <v>12</v>
      </c>
      <c r="W29">
        <v>13</v>
      </c>
      <c r="X29">
        <v>115.444585599936</v>
      </c>
      <c r="AF29">
        <v>115.42863969993699</v>
      </c>
      <c r="AG29">
        <v>115.444585599936</v>
      </c>
      <c r="AH29">
        <v>115.444585599936</v>
      </c>
      <c r="AI29">
        <v>115.444585599936</v>
      </c>
      <c r="AJ29">
        <v>3.79340001381933E-3</v>
      </c>
      <c r="AK29">
        <v>119.07431850000199</v>
      </c>
      <c r="AL29" t="s">
        <v>68</v>
      </c>
      <c r="AM29" t="s">
        <v>171</v>
      </c>
      <c r="AN29" t="s">
        <v>172</v>
      </c>
      <c r="AO29" t="s">
        <v>77</v>
      </c>
      <c r="AP29" t="s">
        <v>78</v>
      </c>
      <c r="AQ29" t="s">
        <v>78</v>
      </c>
      <c r="AR29" t="s">
        <v>173</v>
      </c>
      <c r="AS29" t="s">
        <v>80</v>
      </c>
      <c r="AU29">
        <v>533596</v>
      </c>
      <c r="AV29">
        <v>1</v>
      </c>
      <c r="AW29" t="s">
        <v>139</v>
      </c>
      <c r="AX29" t="s">
        <v>56</v>
      </c>
      <c r="AZ29" t="s">
        <v>57</v>
      </c>
      <c r="BA29">
        <v>59.965483842028299</v>
      </c>
      <c r="BB29" t="s">
        <v>140</v>
      </c>
    </row>
    <row r="30" spans="2:54" x14ac:dyDescent="0.35">
      <c r="B30">
        <v>13</v>
      </c>
      <c r="C30">
        <v>13</v>
      </c>
      <c r="D30">
        <v>0</v>
      </c>
      <c r="F30" s="5">
        <v>1</v>
      </c>
      <c r="G30" s="6" t="s">
        <v>133</v>
      </c>
      <c r="H30" s="6" t="s">
        <v>134</v>
      </c>
      <c r="I30" t="s">
        <v>174</v>
      </c>
      <c r="J30" t="s">
        <v>175</v>
      </c>
      <c r="K30" t="s">
        <v>77</v>
      </c>
      <c r="L30" t="s">
        <v>78</v>
      </c>
      <c r="M30" t="s">
        <v>78</v>
      </c>
      <c r="N30" t="s">
        <v>176</v>
      </c>
      <c r="O30" t="s">
        <v>80</v>
      </c>
      <c r="T30">
        <v>0</v>
      </c>
      <c r="U30">
        <v>13</v>
      </c>
      <c r="V30">
        <v>13</v>
      </c>
      <c r="W30">
        <v>18</v>
      </c>
      <c r="X30">
        <v>119.096036699949</v>
      </c>
      <c r="AF30">
        <v>119.079190499964</v>
      </c>
      <c r="AG30">
        <v>119.096036699949</v>
      </c>
      <c r="AH30">
        <v>119.096036699949</v>
      </c>
      <c r="AI30">
        <v>119.096036699949</v>
      </c>
      <c r="AJ30">
        <v>4.6971000265329998E-3</v>
      </c>
      <c r="AK30">
        <v>125.357741200015</v>
      </c>
      <c r="AL30" t="s">
        <v>134</v>
      </c>
      <c r="AM30" t="s">
        <v>174</v>
      </c>
      <c r="AN30" t="s">
        <v>175</v>
      </c>
      <c r="AO30" t="s">
        <v>77</v>
      </c>
      <c r="AP30" t="s">
        <v>78</v>
      </c>
      <c r="AQ30" t="s">
        <v>78</v>
      </c>
      <c r="AR30" t="s">
        <v>176</v>
      </c>
      <c r="AS30" t="s">
        <v>80</v>
      </c>
      <c r="AU30">
        <v>533596</v>
      </c>
      <c r="AV30">
        <v>1</v>
      </c>
      <c r="AW30" t="s">
        <v>139</v>
      </c>
      <c r="AX30" t="s">
        <v>56</v>
      </c>
      <c r="AZ30" t="s">
        <v>57</v>
      </c>
      <c r="BA30">
        <v>59.965483842028299</v>
      </c>
      <c r="BB30" t="s">
        <v>140</v>
      </c>
    </row>
    <row r="31" spans="2:54" x14ac:dyDescent="0.35">
      <c r="B31">
        <v>14</v>
      </c>
      <c r="C31">
        <v>14</v>
      </c>
      <c r="D31">
        <v>0</v>
      </c>
      <c r="F31" s="2">
        <v>1</v>
      </c>
      <c r="G31" t="s">
        <v>111</v>
      </c>
      <c r="H31" t="s">
        <v>177</v>
      </c>
      <c r="I31" t="s">
        <v>178</v>
      </c>
      <c r="J31" t="s">
        <v>179</v>
      </c>
      <c r="K31" t="s">
        <v>77</v>
      </c>
      <c r="L31" t="s">
        <v>78</v>
      </c>
      <c r="M31" t="s">
        <v>78</v>
      </c>
      <c r="N31" t="s">
        <v>180</v>
      </c>
      <c r="O31" t="s">
        <v>80</v>
      </c>
      <c r="T31">
        <v>0</v>
      </c>
      <c r="U31">
        <v>14</v>
      </c>
      <c r="V31">
        <v>14</v>
      </c>
      <c r="W31">
        <v>9</v>
      </c>
      <c r="X31">
        <v>125.38054929999601</v>
      </c>
      <c r="AF31">
        <v>125.362300499924</v>
      </c>
      <c r="AG31">
        <v>125.38054929999601</v>
      </c>
      <c r="AH31">
        <v>125.38054929999601</v>
      </c>
      <c r="AI31">
        <v>125.38054929999601</v>
      </c>
      <c r="AJ31">
        <v>4.3861999874934502E-3</v>
      </c>
      <c r="AK31">
        <v>136.13261049997499</v>
      </c>
      <c r="AL31" t="s">
        <v>177</v>
      </c>
      <c r="AM31" t="s">
        <v>178</v>
      </c>
      <c r="AN31" t="s">
        <v>179</v>
      </c>
      <c r="AO31" t="s">
        <v>77</v>
      </c>
      <c r="AP31" t="s">
        <v>78</v>
      </c>
      <c r="AQ31" t="s">
        <v>78</v>
      </c>
      <c r="AR31" t="s">
        <v>180</v>
      </c>
      <c r="AS31" t="s">
        <v>80</v>
      </c>
      <c r="AT31">
        <v>135.38193149992699</v>
      </c>
      <c r="AU31">
        <v>533596</v>
      </c>
      <c r="AV31">
        <v>1</v>
      </c>
      <c r="AW31" t="s">
        <v>139</v>
      </c>
      <c r="AX31" t="s">
        <v>56</v>
      </c>
      <c r="AZ31" t="s">
        <v>57</v>
      </c>
      <c r="BA31">
        <v>59.965483842028299</v>
      </c>
      <c r="BB31" t="s">
        <v>140</v>
      </c>
    </row>
    <row r="32" spans="2:54" x14ac:dyDescent="0.35">
      <c r="B32">
        <v>15</v>
      </c>
      <c r="C32">
        <v>15</v>
      </c>
      <c r="D32">
        <v>0</v>
      </c>
      <c r="F32" s="2"/>
      <c r="G32" t="s">
        <v>191</v>
      </c>
      <c r="I32" t="s">
        <v>178</v>
      </c>
      <c r="J32" t="s">
        <v>179</v>
      </c>
      <c r="K32" t="s">
        <v>77</v>
      </c>
      <c r="L32" t="s">
        <v>78</v>
      </c>
      <c r="M32" t="s">
        <v>78</v>
      </c>
      <c r="N32" t="s">
        <v>181</v>
      </c>
      <c r="O32" t="s">
        <v>80</v>
      </c>
      <c r="T32">
        <v>0</v>
      </c>
      <c r="U32">
        <v>15</v>
      </c>
      <c r="V32">
        <v>15</v>
      </c>
      <c r="W32">
        <v>6</v>
      </c>
      <c r="X32">
        <v>136.15456789999701</v>
      </c>
      <c r="AF32">
        <v>136.13748039992001</v>
      </c>
      <c r="AG32">
        <v>136.15456789999701</v>
      </c>
      <c r="AH32">
        <v>136.15456789999701</v>
      </c>
      <c r="AI32">
        <v>136.15456789999701</v>
      </c>
      <c r="AJ32">
        <v>4.6893999679014E-3</v>
      </c>
      <c r="AK32">
        <v>146.68569209997</v>
      </c>
      <c r="AM32" t="s">
        <v>178</v>
      </c>
      <c r="AN32" t="s">
        <v>179</v>
      </c>
      <c r="AO32" t="s">
        <v>77</v>
      </c>
      <c r="AP32" t="s">
        <v>78</v>
      </c>
      <c r="AQ32" t="s">
        <v>78</v>
      </c>
      <c r="AR32" t="s">
        <v>181</v>
      </c>
      <c r="AS32" t="s">
        <v>80</v>
      </c>
      <c r="AT32">
        <v>146.16494799999001</v>
      </c>
      <c r="AU32">
        <v>533596</v>
      </c>
      <c r="AV32">
        <v>1</v>
      </c>
      <c r="AW32" t="s">
        <v>139</v>
      </c>
      <c r="AX32" t="s">
        <v>56</v>
      </c>
      <c r="AZ32" t="s">
        <v>57</v>
      </c>
      <c r="BA32">
        <v>59.965483842028299</v>
      </c>
      <c r="BB32" t="s">
        <v>140</v>
      </c>
    </row>
    <row r="33" spans="2:54" x14ac:dyDescent="0.35">
      <c r="B33">
        <v>16</v>
      </c>
      <c r="C33">
        <v>16</v>
      </c>
      <c r="D33">
        <v>0</v>
      </c>
      <c r="F33" s="2">
        <v>1</v>
      </c>
      <c r="G33" t="s">
        <v>136</v>
      </c>
      <c r="H33" t="s">
        <v>137</v>
      </c>
      <c r="I33" t="s">
        <v>182</v>
      </c>
      <c r="J33" t="s">
        <v>183</v>
      </c>
      <c r="K33" t="s">
        <v>77</v>
      </c>
      <c r="L33" t="s">
        <v>78</v>
      </c>
      <c r="M33" t="s">
        <v>78</v>
      </c>
      <c r="N33" t="s">
        <v>184</v>
      </c>
      <c r="O33" t="s">
        <v>80</v>
      </c>
      <c r="T33">
        <v>0</v>
      </c>
      <c r="U33">
        <v>16</v>
      </c>
      <c r="V33">
        <v>16</v>
      </c>
      <c r="W33">
        <v>2</v>
      </c>
      <c r="X33">
        <v>146.70694489998201</v>
      </c>
      <c r="AF33">
        <v>146.68996260000799</v>
      </c>
      <c r="AG33">
        <v>146.70694489998201</v>
      </c>
      <c r="AH33">
        <v>146.70694489998201</v>
      </c>
      <c r="AI33">
        <v>146.70694489998201</v>
      </c>
      <c r="AJ33">
        <v>4.0954999858513396E-3</v>
      </c>
      <c r="AK33">
        <v>151.76286269992099</v>
      </c>
      <c r="AL33" t="s">
        <v>137</v>
      </c>
      <c r="AM33" t="s">
        <v>182</v>
      </c>
      <c r="AN33" t="s">
        <v>183</v>
      </c>
      <c r="AO33" t="s">
        <v>77</v>
      </c>
      <c r="AP33" t="s">
        <v>78</v>
      </c>
      <c r="AQ33" t="s">
        <v>78</v>
      </c>
      <c r="AR33" t="s">
        <v>184</v>
      </c>
      <c r="AS33" t="s">
        <v>80</v>
      </c>
      <c r="AU33">
        <v>533596</v>
      </c>
      <c r="AV33">
        <v>1</v>
      </c>
      <c r="AW33" t="s">
        <v>139</v>
      </c>
      <c r="AX33" t="s">
        <v>56</v>
      </c>
      <c r="AZ33" t="s">
        <v>57</v>
      </c>
      <c r="BA33">
        <v>59.965483842028299</v>
      </c>
      <c r="BB33" t="s">
        <v>140</v>
      </c>
    </row>
    <row r="34" spans="2:54" x14ac:dyDescent="0.35">
      <c r="B34">
        <v>17</v>
      </c>
      <c r="C34">
        <v>17</v>
      </c>
      <c r="D34">
        <v>0</v>
      </c>
      <c r="F34" s="2">
        <v>1</v>
      </c>
      <c r="G34" t="s">
        <v>92</v>
      </c>
      <c r="H34" t="s">
        <v>69</v>
      </c>
      <c r="I34" t="s">
        <v>182</v>
      </c>
      <c r="J34" t="s">
        <v>185</v>
      </c>
      <c r="K34" t="s">
        <v>77</v>
      </c>
      <c r="L34" t="s">
        <v>78</v>
      </c>
      <c r="M34" t="s">
        <v>78</v>
      </c>
      <c r="N34" t="s">
        <v>186</v>
      </c>
      <c r="O34" t="s">
        <v>80</v>
      </c>
      <c r="T34">
        <v>0</v>
      </c>
      <c r="U34">
        <v>17</v>
      </c>
      <c r="V34">
        <v>17</v>
      </c>
      <c r="W34">
        <v>0</v>
      </c>
      <c r="X34">
        <v>151.784940599929</v>
      </c>
      <c r="AF34">
        <v>151.76776389998801</v>
      </c>
      <c r="AG34">
        <v>151.784940599929</v>
      </c>
      <c r="AH34">
        <v>151.784940599929</v>
      </c>
      <c r="AI34">
        <v>151.784940599929</v>
      </c>
      <c r="AJ34">
        <v>4.7223999863490402E-3</v>
      </c>
      <c r="AK34">
        <v>155.969346700003</v>
      </c>
      <c r="AL34" t="s">
        <v>69</v>
      </c>
      <c r="AM34" t="s">
        <v>182</v>
      </c>
      <c r="AN34" t="s">
        <v>185</v>
      </c>
      <c r="AO34" t="s">
        <v>77</v>
      </c>
      <c r="AP34" t="s">
        <v>78</v>
      </c>
      <c r="AQ34" t="s">
        <v>78</v>
      </c>
      <c r="AR34" t="s">
        <v>186</v>
      </c>
      <c r="AS34" t="s">
        <v>80</v>
      </c>
      <c r="AU34">
        <v>533596</v>
      </c>
      <c r="AV34">
        <v>1</v>
      </c>
      <c r="AW34" t="s">
        <v>139</v>
      </c>
      <c r="AX34" t="s">
        <v>56</v>
      </c>
      <c r="AZ34" t="s">
        <v>57</v>
      </c>
      <c r="BA34">
        <v>59.965483842028299</v>
      </c>
      <c r="BB34" t="s">
        <v>140</v>
      </c>
    </row>
    <row r="35" spans="2:54" x14ac:dyDescent="0.35">
      <c r="B35">
        <v>18</v>
      </c>
      <c r="C35">
        <v>18</v>
      </c>
      <c r="D35">
        <v>0</v>
      </c>
      <c r="F35" s="2">
        <v>1</v>
      </c>
      <c r="G35" t="s">
        <v>96</v>
      </c>
      <c r="H35" t="s">
        <v>72</v>
      </c>
      <c r="I35" t="s">
        <v>120</v>
      </c>
      <c r="J35" t="s">
        <v>187</v>
      </c>
      <c r="K35" t="s">
        <v>77</v>
      </c>
      <c r="L35" t="s">
        <v>78</v>
      </c>
      <c r="M35" t="s">
        <v>78</v>
      </c>
      <c r="N35" t="s">
        <v>188</v>
      </c>
      <c r="O35" t="s">
        <v>80</v>
      </c>
      <c r="T35">
        <v>0</v>
      </c>
      <c r="U35">
        <v>18</v>
      </c>
      <c r="V35">
        <v>18</v>
      </c>
      <c r="W35">
        <v>10</v>
      </c>
      <c r="X35">
        <v>156.00123209995201</v>
      </c>
      <c r="AF35">
        <v>155.975496299914</v>
      </c>
      <c r="AG35">
        <v>156.00123209995201</v>
      </c>
      <c r="AH35">
        <v>156.00123209995201</v>
      </c>
      <c r="AI35">
        <v>156.00123209995201</v>
      </c>
      <c r="AJ35">
        <v>5.8631000574678096E-3</v>
      </c>
      <c r="AK35">
        <v>169.84280579991099</v>
      </c>
      <c r="AL35" t="s">
        <v>72</v>
      </c>
      <c r="AM35" t="s">
        <v>120</v>
      </c>
      <c r="AN35" t="s">
        <v>187</v>
      </c>
      <c r="AO35" t="s">
        <v>77</v>
      </c>
      <c r="AP35" t="s">
        <v>78</v>
      </c>
      <c r="AQ35" t="s">
        <v>78</v>
      </c>
      <c r="AR35" t="s">
        <v>188</v>
      </c>
      <c r="AS35" t="s">
        <v>80</v>
      </c>
      <c r="AT35">
        <v>166.010620099958</v>
      </c>
      <c r="AU35">
        <v>533596</v>
      </c>
      <c r="AV35">
        <v>1</v>
      </c>
      <c r="AW35" t="s">
        <v>139</v>
      </c>
      <c r="AX35" t="s">
        <v>56</v>
      </c>
      <c r="AZ35" t="s">
        <v>57</v>
      </c>
      <c r="BA35">
        <v>59.965483842028299</v>
      </c>
      <c r="BB35" t="s">
        <v>140</v>
      </c>
    </row>
    <row r="36" spans="2:54" x14ac:dyDescent="0.35">
      <c r="B36">
        <v>19</v>
      </c>
      <c r="C36">
        <v>19</v>
      </c>
      <c r="D36">
        <v>0</v>
      </c>
      <c r="F36" s="2"/>
      <c r="G36" t="s">
        <v>123</v>
      </c>
      <c r="I36" t="s">
        <v>120</v>
      </c>
      <c r="J36" t="s">
        <v>187</v>
      </c>
      <c r="K36" t="s">
        <v>77</v>
      </c>
      <c r="L36" t="s">
        <v>78</v>
      </c>
      <c r="M36" t="s">
        <v>78</v>
      </c>
      <c r="N36" t="s">
        <v>189</v>
      </c>
      <c r="O36" t="s">
        <v>80</v>
      </c>
      <c r="T36">
        <v>0</v>
      </c>
      <c r="U36">
        <v>19</v>
      </c>
      <c r="V36">
        <v>19</v>
      </c>
      <c r="W36">
        <v>11</v>
      </c>
      <c r="X36">
        <v>169.86524620000199</v>
      </c>
      <c r="AF36">
        <v>169.84850620001001</v>
      </c>
      <c r="AG36">
        <v>169.86524620000199</v>
      </c>
      <c r="AH36">
        <v>169.86524620000199</v>
      </c>
      <c r="AI36">
        <v>169.86524620000199</v>
      </c>
      <c r="AJ36">
        <v>5.4984999587759298E-3</v>
      </c>
      <c r="AK36">
        <v>180.788023900007</v>
      </c>
      <c r="AM36" t="s">
        <v>120</v>
      </c>
      <c r="AN36" t="s">
        <v>187</v>
      </c>
      <c r="AO36" t="s">
        <v>77</v>
      </c>
      <c r="AP36" t="s">
        <v>78</v>
      </c>
      <c r="AQ36" t="s">
        <v>78</v>
      </c>
      <c r="AR36" t="s">
        <v>189</v>
      </c>
      <c r="AS36" t="s">
        <v>80</v>
      </c>
      <c r="AT36">
        <v>179.868677899939</v>
      </c>
      <c r="AU36">
        <v>533596</v>
      </c>
      <c r="AV36">
        <v>1</v>
      </c>
      <c r="AW36" t="s">
        <v>139</v>
      </c>
      <c r="AX36" t="s">
        <v>56</v>
      </c>
      <c r="AZ36" t="s">
        <v>57</v>
      </c>
      <c r="BA36">
        <v>59.965483842028299</v>
      </c>
      <c r="BB36" t="s">
        <v>140</v>
      </c>
    </row>
    <row r="39" spans="2:54" x14ac:dyDescent="0.35">
      <c r="F39" t="s">
        <v>245</v>
      </c>
      <c r="G39">
        <v>11</v>
      </c>
    </row>
    <row r="40" spans="2:54" x14ac:dyDescent="0.35">
      <c r="F40" t="s">
        <v>248</v>
      </c>
      <c r="G40">
        <v>11</v>
      </c>
    </row>
    <row r="41" spans="2:54" x14ac:dyDescent="0.35">
      <c r="F41" t="s">
        <v>250</v>
      </c>
      <c r="G41">
        <f>G39/G40</f>
        <v>1</v>
      </c>
    </row>
    <row r="43" spans="2:54" x14ac:dyDescent="0.35">
      <c r="F43" t="s">
        <v>246</v>
      </c>
      <c r="G43">
        <v>5</v>
      </c>
    </row>
    <row r="44" spans="2:54" x14ac:dyDescent="0.35">
      <c r="F44" t="s">
        <v>247</v>
      </c>
      <c r="G44">
        <v>5</v>
      </c>
    </row>
    <row r="45" spans="2:54" x14ac:dyDescent="0.35">
      <c r="F45" t="s">
        <v>249</v>
      </c>
      <c r="G45">
        <f>G43/G44</f>
        <v>1</v>
      </c>
    </row>
    <row r="47" spans="2:54" x14ac:dyDescent="0.35">
      <c r="F47" t="s">
        <v>251</v>
      </c>
      <c r="G47">
        <f>G41-G45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F1EA6-45DF-44C6-A6B5-67081AEE1C69}">
  <dimension ref="A1:BB47"/>
  <sheetViews>
    <sheetView topLeftCell="A21" workbookViewId="0">
      <selection activeCell="F42" sqref="F42"/>
    </sheetView>
  </sheetViews>
  <sheetFormatPr defaultRowHeight="14.5" x14ac:dyDescent="0.35"/>
  <cols>
    <col min="4" max="4" width="13.54296875" customWidth="1"/>
  </cols>
  <sheetData>
    <row r="1" spans="1:5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5">
      <c r="A2" t="s">
        <v>63</v>
      </c>
      <c r="B2">
        <v>0</v>
      </c>
      <c r="C2">
        <v>0</v>
      </c>
      <c r="D2">
        <v>0</v>
      </c>
      <c r="E2">
        <v>1</v>
      </c>
      <c r="F2">
        <v>2.0706051000160999</v>
      </c>
      <c r="P2">
        <v>0</v>
      </c>
      <c r="Q2">
        <v>0</v>
      </c>
      <c r="R2">
        <v>0</v>
      </c>
      <c r="S2">
        <v>13</v>
      </c>
      <c r="X2">
        <v>3.8273400015896103E-2</v>
      </c>
      <c r="Z2">
        <v>2.15652000042609E-2</v>
      </c>
      <c r="AA2">
        <v>3.8273400015896103E-2</v>
      </c>
      <c r="AB2">
        <v>3.8273400015896103E-2</v>
      </c>
      <c r="AC2">
        <v>2.1081033000082199</v>
      </c>
      <c r="AD2">
        <v>1</v>
      </c>
      <c r="AE2">
        <v>2.0706051000160999</v>
      </c>
      <c r="AU2">
        <v>385697</v>
      </c>
      <c r="AV2">
        <v>1</v>
      </c>
      <c r="AW2" t="s">
        <v>192</v>
      </c>
      <c r="AX2" t="s">
        <v>56</v>
      </c>
      <c r="AZ2" t="s">
        <v>57</v>
      </c>
      <c r="BA2">
        <v>59.990485506388701</v>
      </c>
      <c r="BB2" t="s">
        <v>193</v>
      </c>
    </row>
    <row r="3" spans="1:54" x14ac:dyDescent="0.35">
      <c r="A3" t="s">
        <v>72</v>
      </c>
      <c r="B3">
        <v>1</v>
      </c>
      <c r="C3">
        <v>1</v>
      </c>
      <c r="D3">
        <v>0</v>
      </c>
      <c r="E3">
        <v>1.04666666666666</v>
      </c>
      <c r="F3">
        <v>1.4441281000035799</v>
      </c>
      <c r="P3">
        <v>0</v>
      </c>
      <c r="Q3">
        <v>1</v>
      </c>
      <c r="R3">
        <v>1</v>
      </c>
      <c r="S3">
        <v>4</v>
      </c>
      <c r="X3">
        <v>2.1262633000151201</v>
      </c>
      <c r="Z3">
        <v>2.1146259999950399</v>
      </c>
      <c r="AA3">
        <v>2.1262633000151201</v>
      </c>
      <c r="AB3">
        <v>2.1262633000151201</v>
      </c>
      <c r="AC3">
        <v>3.5753923000011101</v>
      </c>
      <c r="AD3">
        <v>1.04666666666666</v>
      </c>
      <c r="AE3">
        <v>1.4441281000035799</v>
      </c>
      <c r="AU3">
        <v>385697</v>
      </c>
      <c r="AV3">
        <v>1</v>
      </c>
      <c r="AW3" t="s">
        <v>192</v>
      </c>
      <c r="AX3" t="s">
        <v>56</v>
      </c>
      <c r="AZ3" t="s">
        <v>57</v>
      </c>
      <c r="BA3">
        <v>59.990485506388701</v>
      </c>
      <c r="BB3" t="s">
        <v>193</v>
      </c>
    </row>
    <row r="4" spans="1:54" x14ac:dyDescent="0.35">
      <c r="A4" t="s">
        <v>54</v>
      </c>
      <c r="B4">
        <v>2</v>
      </c>
      <c r="C4">
        <v>2</v>
      </c>
      <c r="D4">
        <v>0</v>
      </c>
      <c r="E4">
        <v>1.04666666666666</v>
      </c>
      <c r="F4">
        <v>0.69440490001579702</v>
      </c>
      <c r="P4">
        <v>0</v>
      </c>
      <c r="Q4">
        <v>2</v>
      </c>
      <c r="R4">
        <v>2</v>
      </c>
      <c r="S4">
        <v>1</v>
      </c>
      <c r="X4">
        <v>3.59212650000699</v>
      </c>
      <c r="Z4">
        <v>3.5813409000111198</v>
      </c>
      <c r="AA4">
        <v>3.59212650000699</v>
      </c>
      <c r="AB4">
        <v>3.59212650000699</v>
      </c>
      <c r="AC4">
        <v>4.2915735999995297</v>
      </c>
      <c r="AD4">
        <v>1.04666666666666</v>
      </c>
      <c r="AE4">
        <v>0.69440490001579702</v>
      </c>
      <c r="AU4">
        <v>385697</v>
      </c>
      <c r="AV4">
        <v>1</v>
      </c>
      <c r="AW4" t="s">
        <v>192</v>
      </c>
      <c r="AX4" t="s">
        <v>56</v>
      </c>
      <c r="AZ4" t="s">
        <v>57</v>
      </c>
      <c r="BA4">
        <v>59.990485506388701</v>
      </c>
      <c r="BB4" t="s">
        <v>193</v>
      </c>
    </row>
    <row r="5" spans="1:54" x14ac:dyDescent="0.35">
      <c r="A5" t="s">
        <v>71</v>
      </c>
      <c r="B5">
        <v>3</v>
      </c>
      <c r="C5">
        <v>3</v>
      </c>
      <c r="D5">
        <v>0</v>
      </c>
      <c r="E5">
        <v>1.04666666666666</v>
      </c>
      <c r="F5">
        <v>0.67977859999518797</v>
      </c>
      <c r="P5">
        <v>0</v>
      </c>
      <c r="Q5">
        <v>3</v>
      </c>
      <c r="R5">
        <v>3</v>
      </c>
      <c r="S5">
        <v>14</v>
      </c>
      <c r="X5">
        <v>4.3073564000078397</v>
      </c>
      <c r="Z5">
        <v>4.2966075000003903</v>
      </c>
      <c r="AA5">
        <v>4.3073564000078397</v>
      </c>
      <c r="AB5">
        <v>4.3073564000078397</v>
      </c>
      <c r="AC5">
        <v>4.99179490000824</v>
      </c>
      <c r="AD5">
        <v>1.04666666666666</v>
      </c>
      <c r="AE5">
        <v>0.67977859999518797</v>
      </c>
      <c r="AU5">
        <v>385697</v>
      </c>
      <c r="AV5">
        <v>1</v>
      </c>
      <c r="AW5" t="s">
        <v>192</v>
      </c>
      <c r="AX5" t="s">
        <v>56</v>
      </c>
      <c r="AZ5" t="s">
        <v>57</v>
      </c>
      <c r="BA5">
        <v>59.990485506388701</v>
      </c>
      <c r="BB5" t="s">
        <v>193</v>
      </c>
    </row>
    <row r="6" spans="1:54" x14ac:dyDescent="0.35">
      <c r="A6" t="s">
        <v>67</v>
      </c>
      <c r="B6">
        <v>4</v>
      </c>
      <c r="C6">
        <v>4</v>
      </c>
      <c r="D6">
        <v>0</v>
      </c>
      <c r="E6">
        <v>1.04666666666666</v>
      </c>
      <c r="F6">
        <v>0.53042970001115397</v>
      </c>
      <c r="P6">
        <v>0</v>
      </c>
      <c r="Q6">
        <v>4</v>
      </c>
      <c r="R6">
        <v>4</v>
      </c>
      <c r="S6">
        <v>10</v>
      </c>
      <c r="X6">
        <v>5.0077978000044796</v>
      </c>
      <c r="Z6">
        <v>4.9950038999959299</v>
      </c>
      <c r="AA6">
        <v>5.0077978000044796</v>
      </c>
      <c r="AB6">
        <v>5.0077978000044796</v>
      </c>
      <c r="AC6">
        <v>5.5421239999995997</v>
      </c>
      <c r="AD6">
        <v>1.04666666666666</v>
      </c>
      <c r="AE6">
        <v>0.53042970001115397</v>
      </c>
      <c r="AU6">
        <v>385697</v>
      </c>
      <c r="AV6">
        <v>1</v>
      </c>
      <c r="AW6" t="s">
        <v>192</v>
      </c>
      <c r="AX6" t="s">
        <v>56</v>
      </c>
      <c r="AZ6" t="s">
        <v>57</v>
      </c>
      <c r="BA6">
        <v>59.990485506388701</v>
      </c>
      <c r="BB6" t="s">
        <v>193</v>
      </c>
    </row>
    <row r="7" spans="1:54" x14ac:dyDescent="0.35">
      <c r="A7" t="s">
        <v>70</v>
      </c>
      <c r="B7">
        <v>5</v>
      </c>
      <c r="C7">
        <v>5</v>
      </c>
      <c r="D7">
        <v>0</v>
      </c>
      <c r="E7">
        <v>1.04666666666666</v>
      </c>
      <c r="F7">
        <v>0.63010790001135297</v>
      </c>
      <c r="P7">
        <v>0</v>
      </c>
      <c r="Q7">
        <v>5</v>
      </c>
      <c r="R7">
        <v>5</v>
      </c>
      <c r="S7">
        <v>11</v>
      </c>
      <c r="X7">
        <v>5.5568344999919601</v>
      </c>
      <c r="Z7">
        <v>5.5455506000143897</v>
      </c>
      <c r="AA7">
        <v>5.5568344999919601</v>
      </c>
      <c r="AB7">
        <v>5.5568344999919601</v>
      </c>
      <c r="AC7">
        <v>6.1915446000057202</v>
      </c>
      <c r="AD7">
        <v>1.04666666666666</v>
      </c>
      <c r="AE7">
        <v>0.63010790001135297</v>
      </c>
      <c r="AU7">
        <v>385697</v>
      </c>
      <c r="AV7">
        <v>1</v>
      </c>
      <c r="AW7" t="s">
        <v>192</v>
      </c>
      <c r="AX7" t="s">
        <v>56</v>
      </c>
      <c r="AZ7" t="s">
        <v>57</v>
      </c>
      <c r="BA7">
        <v>59.990485506388701</v>
      </c>
      <c r="BB7" t="s">
        <v>193</v>
      </c>
    </row>
    <row r="8" spans="1:54" x14ac:dyDescent="0.35">
      <c r="A8" t="s">
        <v>65</v>
      </c>
      <c r="B8">
        <v>6</v>
      </c>
      <c r="C8">
        <v>6</v>
      </c>
      <c r="D8">
        <v>0</v>
      </c>
      <c r="E8">
        <v>1.04666666666666</v>
      </c>
      <c r="F8">
        <v>0.62919020000845105</v>
      </c>
      <c r="P8">
        <v>0</v>
      </c>
      <c r="Q8">
        <v>6</v>
      </c>
      <c r="R8">
        <v>6</v>
      </c>
      <c r="S8">
        <v>7</v>
      </c>
      <c r="X8">
        <v>6.2080715000047304</v>
      </c>
      <c r="Z8">
        <v>6.1973718999943204</v>
      </c>
      <c r="AA8">
        <v>6.2080715000047304</v>
      </c>
      <c r="AB8">
        <v>6.2080715000047304</v>
      </c>
      <c r="AC8">
        <v>6.8412223999912296</v>
      </c>
      <c r="AD8">
        <v>1.04666666666666</v>
      </c>
      <c r="AE8">
        <v>0.62919020000845105</v>
      </c>
      <c r="AU8">
        <v>385697</v>
      </c>
      <c r="AV8">
        <v>1</v>
      </c>
      <c r="AW8" t="s">
        <v>192</v>
      </c>
      <c r="AX8" t="s">
        <v>56</v>
      </c>
      <c r="AZ8" t="s">
        <v>57</v>
      </c>
      <c r="BA8">
        <v>59.990485506388701</v>
      </c>
      <c r="BB8" t="s">
        <v>193</v>
      </c>
    </row>
    <row r="9" spans="1:54" x14ac:dyDescent="0.35">
      <c r="A9" t="s">
        <v>68</v>
      </c>
      <c r="B9">
        <v>7</v>
      </c>
      <c r="C9">
        <v>7</v>
      </c>
      <c r="D9">
        <v>0</v>
      </c>
      <c r="E9">
        <v>1.04666666666666</v>
      </c>
      <c r="F9">
        <v>0.68215850001433798</v>
      </c>
      <c r="P9">
        <v>0</v>
      </c>
      <c r="Q9">
        <v>7</v>
      </c>
      <c r="R9">
        <v>7</v>
      </c>
      <c r="S9">
        <v>0</v>
      </c>
      <c r="X9">
        <v>6.8570128999999698</v>
      </c>
      <c r="Z9">
        <v>6.8444318000110798</v>
      </c>
      <c r="AA9">
        <v>6.8570128999999698</v>
      </c>
      <c r="AB9">
        <v>6.8570128999999698</v>
      </c>
      <c r="AC9">
        <v>7.5413661999918897</v>
      </c>
      <c r="AD9">
        <v>1.04666666666666</v>
      </c>
      <c r="AE9">
        <v>0.68215850001433798</v>
      </c>
      <c r="AU9">
        <v>385697</v>
      </c>
      <c r="AV9">
        <v>1</v>
      </c>
      <c r="AW9" t="s">
        <v>192</v>
      </c>
      <c r="AX9" t="s">
        <v>56</v>
      </c>
      <c r="AZ9" t="s">
        <v>57</v>
      </c>
      <c r="BA9">
        <v>59.990485506388701</v>
      </c>
      <c r="BB9" t="s">
        <v>193</v>
      </c>
    </row>
    <row r="10" spans="1:54" x14ac:dyDescent="0.35">
      <c r="A10" t="s">
        <v>64</v>
      </c>
      <c r="B10">
        <v>8</v>
      </c>
      <c r="C10">
        <v>8</v>
      </c>
      <c r="D10">
        <v>0</v>
      </c>
      <c r="E10">
        <v>1.04666666666666</v>
      </c>
      <c r="F10">
        <v>0.66240349999861703</v>
      </c>
      <c r="P10">
        <v>0</v>
      </c>
      <c r="Q10">
        <v>8</v>
      </c>
      <c r="R10">
        <v>8</v>
      </c>
      <c r="S10">
        <v>2</v>
      </c>
      <c r="X10">
        <v>7.5574722000164902</v>
      </c>
      <c r="Z10">
        <v>7.5464259000145804</v>
      </c>
      <c r="AA10">
        <v>7.5574722000164902</v>
      </c>
      <c r="AB10">
        <v>7.5574722000164902</v>
      </c>
      <c r="AC10">
        <v>8.2249394000100402</v>
      </c>
      <c r="AD10">
        <v>1.04666666666666</v>
      </c>
      <c r="AE10">
        <v>0.66240349999861703</v>
      </c>
      <c r="AU10">
        <v>385697</v>
      </c>
      <c r="AV10">
        <v>1</v>
      </c>
      <c r="AW10" t="s">
        <v>192</v>
      </c>
      <c r="AX10" t="s">
        <v>56</v>
      </c>
      <c r="AZ10" t="s">
        <v>57</v>
      </c>
      <c r="BA10">
        <v>59.990485506388701</v>
      </c>
      <c r="BB10" t="s">
        <v>193</v>
      </c>
    </row>
    <row r="11" spans="1:54" x14ac:dyDescent="0.35">
      <c r="A11" t="s">
        <v>66</v>
      </c>
      <c r="B11">
        <v>9</v>
      </c>
      <c r="C11">
        <v>9</v>
      </c>
      <c r="D11">
        <v>0</v>
      </c>
      <c r="E11">
        <v>1.04666666666666</v>
      </c>
      <c r="F11">
        <v>0.66521830001147397</v>
      </c>
      <c r="P11">
        <v>0</v>
      </c>
      <c r="Q11">
        <v>9</v>
      </c>
      <c r="R11">
        <v>9</v>
      </c>
      <c r="S11">
        <v>6</v>
      </c>
      <c r="X11">
        <v>8.2404709999973402</v>
      </c>
      <c r="Z11">
        <v>8.2282717000052799</v>
      </c>
      <c r="AA11">
        <v>8.2404709999973402</v>
      </c>
      <c r="AB11">
        <v>8.2404709999973402</v>
      </c>
      <c r="AC11">
        <v>8.9080219000170402</v>
      </c>
      <c r="AD11">
        <v>1.04666666666666</v>
      </c>
      <c r="AE11">
        <v>0.66521830001147397</v>
      </c>
      <c r="AU11">
        <v>385697</v>
      </c>
      <c r="AV11">
        <v>1</v>
      </c>
      <c r="AW11" t="s">
        <v>192</v>
      </c>
      <c r="AX11" t="s">
        <v>56</v>
      </c>
      <c r="AZ11" t="s">
        <v>57</v>
      </c>
      <c r="BA11">
        <v>59.990485506388701</v>
      </c>
      <c r="BB11" t="s">
        <v>193</v>
      </c>
    </row>
    <row r="12" spans="1:54" x14ac:dyDescent="0.35">
      <c r="A12" t="s">
        <v>69</v>
      </c>
      <c r="B12">
        <v>10</v>
      </c>
      <c r="C12">
        <v>10</v>
      </c>
      <c r="D12">
        <v>0</v>
      </c>
      <c r="E12">
        <v>1.04666666666666</v>
      </c>
      <c r="F12">
        <v>0.58164630000828699</v>
      </c>
      <c r="P12">
        <v>0</v>
      </c>
      <c r="Q12">
        <v>10</v>
      </c>
      <c r="R12">
        <v>10</v>
      </c>
      <c r="S12">
        <v>5</v>
      </c>
      <c r="X12">
        <v>8.9237055999983497</v>
      </c>
      <c r="Z12">
        <v>8.9115829000074793</v>
      </c>
      <c r="AA12">
        <v>8.9237055999983497</v>
      </c>
      <c r="AB12">
        <v>8.9237055999983497</v>
      </c>
      <c r="AC12">
        <v>9.5079398000088897</v>
      </c>
      <c r="AD12">
        <v>1.04666666666666</v>
      </c>
      <c r="AE12">
        <v>0.58164630000828699</v>
      </c>
      <c r="AU12">
        <v>385697</v>
      </c>
      <c r="AV12">
        <v>1</v>
      </c>
      <c r="AW12" t="s">
        <v>192</v>
      </c>
      <c r="AX12" t="s">
        <v>56</v>
      </c>
      <c r="AZ12" t="s">
        <v>57</v>
      </c>
      <c r="BA12">
        <v>59.990485506388701</v>
      </c>
      <c r="BB12" t="s">
        <v>193</v>
      </c>
    </row>
    <row r="13" spans="1:54" x14ac:dyDescent="0.35">
      <c r="A13" t="s">
        <v>59</v>
      </c>
      <c r="B13">
        <v>11</v>
      </c>
      <c r="C13">
        <v>11</v>
      </c>
      <c r="D13">
        <v>0</v>
      </c>
      <c r="E13">
        <v>1.04666666666666</v>
      </c>
      <c r="F13">
        <v>0.66427229999681003</v>
      </c>
      <c r="P13">
        <v>0</v>
      </c>
      <c r="Q13">
        <v>11</v>
      </c>
      <c r="R13">
        <v>11</v>
      </c>
      <c r="S13">
        <v>8</v>
      </c>
      <c r="X13">
        <v>9.5235774000175297</v>
      </c>
      <c r="Z13">
        <v>9.5112977999961004</v>
      </c>
      <c r="AA13">
        <v>9.5235774000175297</v>
      </c>
      <c r="AB13">
        <v>9.5235774000175297</v>
      </c>
      <c r="AC13">
        <v>10.191552200005299</v>
      </c>
      <c r="AD13">
        <v>1.04666666666666</v>
      </c>
      <c r="AE13">
        <v>0.66427229999681003</v>
      </c>
      <c r="AU13">
        <v>385697</v>
      </c>
      <c r="AV13">
        <v>1</v>
      </c>
      <c r="AW13" t="s">
        <v>192</v>
      </c>
      <c r="AX13" t="s">
        <v>56</v>
      </c>
      <c r="AZ13" t="s">
        <v>57</v>
      </c>
      <c r="BA13">
        <v>59.990485506388701</v>
      </c>
      <c r="BB13" t="s">
        <v>193</v>
      </c>
    </row>
    <row r="14" spans="1:54" x14ac:dyDescent="0.35">
      <c r="A14" t="s">
        <v>62</v>
      </c>
      <c r="B14">
        <v>12</v>
      </c>
      <c r="C14">
        <v>12</v>
      </c>
      <c r="D14">
        <v>0</v>
      </c>
      <c r="E14">
        <v>1.04666666666666</v>
      </c>
      <c r="F14">
        <v>0.59925699999439497</v>
      </c>
      <c r="P14">
        <v>0</v>
      </c>
      <c r="Q14">
        <v>12</v>
      </c>
      <c r="R14">
        <v>12</v>
      </c>
      <c r="S14">
        <v>12</v>
      </c>
      <c r="X14">
        <v>10.207030999998</v>
      </c>
      <c r="Z14">
        <v>10.195080100005701</v>
      </c>
      <c r="AA14">
        <v>10.207030999998</v>
      </c>
      <c r="AB14">
        <v>10.207030999998</v>
      </c>
      <c r="AC14">
        <v>10.8081756000174</v>
      </c>
      <c r="AD14">
        <v>1.04666666666666</v>
      </c>
      <c r="AE14">
        <v>0.59925699999439497</v>
      </c>
      <c r="AU14">
        <v>385697</v>
      </c>
      <c r="AV14">
        <v>1</v>
      </c>
      <c r="AW14" t="s">
        <v>192</v>
      </c>
      <c r="AX14" t="s">
        <v>56</v>
      </c>
      <c r="AZ14" t="s">
        <v>57</v>
      </c>
      <c r="BA14">
        <v>59.990485506388701</v>
      </c>
      <c r="BB14" t="s">
        <v>193</v>
      </c>
    </row>
    <row r="15" spans="1:54" x14ac:dyDescent="0.35">
      <c r="A15" t="s">
        <v>61</v>
      </c>
      <c r="B15">
        <v>13</v>
      </c>
      <c r="C15">
        <v>13</v>
      </c>
      <c r="D15">
        <v>0</v>
      </c>
      <c r="E15">
        <v>1.04666666666666</v>
      </c>
      <c r="F15">
        <v>0.614976700016995</v>
      </c>
      <c r="P15">
        <v>0</v>
      </c>
      <c r="Q15">
        <v>13</v>
      </c>
      <c r="R15">
        <v>13</v>
      </c>
      <c r="S15">
        <v>9</v>
      </c>
      <c r="X15">
        <v>10.823661500005899</v>
      </c>
      <c r="Z15">
        <v>10.8115853000199</v>
      </c>
      <c r="AA15">
        <v>10.823661500005899</v>
      </c>
      <c r="AB15">
        <v>10.823661500005899</v>
      </c>
      <c r="AC15">
        <v>11.441540900006601</v>
      </c>
      <c r="AD15">
        <v>1.04666666666666</v>
      </c>
      <c r="AE15">
        <v>0.614976700016995</v>
      </c>
      <c r="AU15">
        <v>385697</v>
      </c>
      <c r="AV15">
        <v>1</v>
      </c>
      <c r="AW15" t="s">
        <v>192</v>
      </c>
      <c r="AX15" t="s">
        <v>56</v>
      </c>
      <c r="AZ15" t="s">
        <v>57</v>
      </c>
      <c r="BA15">
        <v>59.990485506388701</v>
      </c>
      <c r="BB15" t="s">
        <v>193</v>
      </c>
    </row>
    <row r="16" spans="1:54" x14ac:dyDescent="0.35">
      <c r="A16" t="s">
        <v>60</v>
      </c>
      <c r="B16">
        <v>14</v>
      </c>
      <c r="C16">
        <v>14</v>
      </c>
      <c r="D16">
        <v>0</v>
      </c>
      <c r="E16">
        <v>1.04666666666666</v>
      </c>
      <c r="F16">
        <v>0.66348819999257103</v>
      </c>
      <c r="P16">
        <v>0</v>
      </c>
      <c r="Q16">
        <v>14</v>
      </c>
      <c r="R16">
        <v>14</v>
      </c>
      <c r="S16">
        <v>3</v>
      </c>
      <c r="X16">
        <v>11.4568978000024</v>
      </c>
      <c r="Z16">
        <v>11.445204999996299</v>
      </c>
      <c r="AA16">
        <v>11.4568978000024</v>
      </c>
      <c r="AB16">
        <v>11.4568978000024</v>
      </c>
      <c r="AC16">
        <v>12.1246823999972</v>
      </c>
      <c r="AD16">
        <v>1.04666666666666</v>
      </c>
      <c r="AE16">
        <v>0.66348819999257103</v>
      </c>
      <c r="AU16">
        <v>385697</v>
      </c>
      <c r="AV16">
        <v>1</v>
      </c>
      <c r="AW16" t="s">
        <v>192</v>
      </c>
      <c r="AX16" t="s">
        <v>56</v>
      </c>
      <c r="AZ16" t="s">
        <v>57</v>
      </c>
      <c r="BA16">
        <v>59.990485506388701</v>
      </c>
      <c r="BB16" t="s">
        <v>193</v>
      </c>
    </row>
    <row r="17" spans="2:54" x14ac:dyDescent="0.35">
      <c r="B17">
        <v>0</v>
      </c>
      <c r="C17">
        <v>0</v>
      </c>
      <c r="D17">
        <v>0</v>
      </c>
      <c r="F17" s="5">
        <v>1</v>
      </c>
      <c r="G17" s="6" t="s">
        <v>133</v>
      </c>
      <c r="H17" s="6" t="s">
        <v>134</v>
      </c>
      <c r="I17" t="s">
        <v>194</v>
      </c>
      <c r="J17" t="s">
        <v>145</v>
      </c>
      <c r="K17" t="s">
        <v>77</v>
      </c>
      <c r="L17" t="s">
        <v>78</v>
      </c>
      <c r="M17" t="s">
        <v>78</v>
      </c>
      <c r="N17" t="s">
        <v>195</v>
      </c>
      <c r="O17" t="s">
        <v>80</v>
      </c>
      <c r="T17">
        <v>0</v>
      </c>
      <c r="U17">
        <v>0</v>
      </c>
      <c r="V17">
        <v>0</v>
      </c>
      <c r="W17">
        <v>18</v>
      </c>
      <c r="X17">
        <v>12.151637900009501</v>
      </c>
      <c r="AF17">
        <v>12.1384508000046</v>
      </c>
      <c r="AG17">
        <v>12.151637900009501</v>
      </c>
      <c r="AH17">
        <v>12.151637900009501</v>
      </c>
      <c r="AI17">
        <v>12.151637900009501</v>
      </c>
      <c r="AJ17">
        <v>1.3770499994279799E-2</v>
      </c>
      <c r="AK17">
        <v>16.991849800018802</v>
      </c>
      <c r="AL17" t="s">
        <v>134</v>
      </c>
      <c r="AM17" t="s">
        <v>194</v>
      </c>
      <c r="AN17" t="s">
        <v>145</v>
      </c>
      <c r="AO17" t="s">
        <v>77</v>
      </c>
      <c r="AP17" t="s">
        <v>78</v>
      </c>
      <c r="AQ17" t="s">
        <v>78</v>
      </c>
      <c r="AR17" t="s">
        <v>195</v>
      </c>
      <c r="AS17" t="s">
        <v>80</v>
      </c>
      <c r="AU17">
        <v>385697</v>
      </c>
      <c r="AV17">
        <v>1</v>
      </c>
      <c r="AW17" t="s">
        <v>192</v>
      </c>
      <c r="AX17" t="s">
        <v>56</v>
      </c>
      <c r="AZ17" t="s">
        <v>57</v>
      </c>
      <c r="BA17">
        <v>59.990485506388701</v>
      </c>
      <c r="BB17" t="s">
        <v>193</v>
      </c>
    </row>
    <row r="18" spans="2:54" x14ac:dyDescent="0.35">
      <c r="B18">
        <v>1</v>
      </c>
      <c r="C18">
        <v>1</v>
      </c>
      <c r="D18">
        <v>0</v>
      </c>
      <c r="F18" s="7">
        <v>0</v>
      </c>
      <c r="G18" s="8" t="s">
        <v>123</v>
      </c>
      <c r="H18" s="8" t="s">
        <v>151</v>
      </c>
      <c r="I18" t="s">
        <v>194</v>
      </c>
      <c r="J18" t="s">
        <v>145</v>
      </c>
      <c r="K18" t="s">
        <v>77</v>
      </c>
      <c r="L18" t="s">
        <v>78</v>
      </c>
      <c r="M18" t="s">
        <v>78</v>
      </c>
      <c r="N18" t="s">
        <v>196</v>
      </c>
      <c r="O18" t="s">
        <v>80</v>
      </c>
      <c r="T18">
        <v>0</v>
      </c>
      <c r="U18">
        <v>1</v>
      </c>
      <c r="V18">
        <v>1</v>
      </c>
      <c r="W18">
        <v>11</v>
      </c>
      <c r="X18">
        <v>17.0073647999961</v>
      </c>
      <c r="AF18">
        <v>16.9950298000185</v>
      </c>
      <c r="AG18">
        <v>17.0073647999961</v>
      </c>
      <c r="AH18">
        <v>17.0073647999961</v>
      </c>
      <c r="AI18">
        <v>17.0073647999961</v>
      </c>
      <c r="AJ18">
        <v>3.0215000151656499E-3</v>
      </c>
      <c r="AK18">
        <v>21.876011400017799</v>
      </c>
      <c r="AL18" t="s">
        <v>151</v>
      </c>
      <c r="AM18" t="s">
        <v>194</v>
      </c>
      <c r="AN18" t="s">
        <v>145</v>
      </c>
      <c r="AO18" t="s">
        <v>77</v>
      </c>
      <c r="AP18" t="s">
        <v>78</v>
      </c>
      <c r="AQ18" t="s">
        <v>78</v>
      </c>
      <c r="AR18" t="s">
        <v>196</v>
      </c>
      <c r="AS18" t="s">
        <v>80</v>
      </c>
      <c r="AU18">
        <v>385697</v>
      </c>
      <c r="AV18">
        <v>1</v>
      </c>
      <c r="AW18" t="s">
        <v>192</v>
      </c>
      <c r="AX18" t="s">
        <v>56</v>
      </c>
      <c r="AZ18" t="s">
        <v>57</v>
      </c>
      <c r="BA18">
        <v>59.990485506388701</v>
      </c>
      <c r="BB18" t="s">
        <v>193</v>
      </c>
    </row>
    <row r="19" spans="2:54" x14ac:dyDescent="0.35">
      <c r="B19">
        <v>2</v>
      </c>
      <c r="C19">
        <v>2</v>
      </c>
      <c r="D19">
        <v>0</v>
      </c>
      <c r="F19" s="2">
        <v>1</v>
      </c>
      <c r="G19" t="s">
        <v>96</v>
      </c>
      <c r="H19" t="s">
        <v>72</v>
      </c>
      <c r="I19" t="s">
        <v>194</v>
      </c>
      <c r="J19" t="s">
        <v>169</v>
      </c>
      <c r="K19" t="s">
        <v>77</v>
      </c>
      <c r="L19" t="s">
        <v>78</v>
      </c>
      <c r="M19" t="s">
        <v>78</v>
      </c>
      <c r="N19" t="s">
        <v>197</v>
      </c>
      <c r="O19" t="s">
        <v>80</v>
      </c>
      <c r="T19">
        <v>0</v>
      </c>
      <c r="U19">
        <v>2</v>
      </c>
      <c r="V19">
        <v>2</v>
      </c>
      <c r="W19">
        <v>10</v>
      </c>
      <c r="X19">
        <v>21.8903386000019</v>
      </c>
      <c r="AF19">
        <v>21.8791000999917</v>
      </c>
      <c r="AG19">
        <v>21.8903386000019</v>
      </c>
      <c r="AH19">
        <v>21.8903386000019</v>
      </c>
      <c r="AI19">
        <v>21.8903386000019</v>
      </c>
      <c r="AJ19">
        <v>2.9416000179480701E-3</v>
      </c>
      <c r="AK19">
        <v>26.7419016000058</v>
      </c>
      <c r="AL19" t="s">
        <v>72</v>
      </c>
      <c r="AM19" t="s">
        <v>194</v>
      </c>
      <c r="AN19" t="s">
        <v>169</v>
      </c>
      <c r="AO19" t="s">
        <v>77</v>
      </c>
      <c r="AP19" t="s">
        <v>78</v>
      </c>
      <c r="AQ19" t="s">
        <v>78</v>
      </c>
      <c r="AR19" t="s">
        <v>197</v>
      </c>
      <c r="AS19" t="s">
        <v>80</v>
      </c>
      <c r="AU19">
        <v>385697</v>
      </c>
      <c r="AV19">
        <v>1</v>
      </c>
      <c r="AW19" t="s">
        <v>192</v>
      </c>
      <c r="AX19" t="s">
        <v>56</v>
      </c>
      <c r="AZ19" t="s">
        <v>57</v>
      </c>
      <c r="BA19">
        <v>59.990485506388701</v>
      </c>
      <c r="BB19" t="s">
        <v>193</v>
      </c>
    </row>
    <row r="20" spans="2:54" x14ac:dyDescent="0.35">
      <c r="B20">
        <v>3</v>
      </c>
      <c r="C20">
        <v>3</v>
      </c>
      <c r="D20">
        <v>0</v>
      </c>
      <c r="F20" s="2">
        <v>1</v>
      </c>
      <c r="G20" t="s">
        <v>191</v>
      </c>
      <c r="H20" t="s">
        <v>70</v>
      </c>
      <c r="I20" t="s">
        <v>194</v>
      </c>
      <c r="J20" t="s">
        <v>169</v>
      </c>
      <c r="K20" t="s">
        <v>77</v>
      </c>
      <c r="L20" t="s">
        <v>78</v>
      </c>
      <c r="M20" t="s">
        <v>78</v>
      </c>
      <c r="N20" t="s">
        <v>198</v>
      </c>
      <c r="O20" t="s">
        <v>80</v>
      </c>
      <c r="T20">
        <v>0</v>
      </c>
      <c r="U20">
        <v>3</v>
      </c>
      <c r="V20">
        <v>3</v>
      </c>
      <c r="W20">
        <v>6</v>
      </c>
      <c r="X20">
        <v>26.757432999991501</v>
      </c>
      <c r="AF20">
        <v>26.745637300016799</v>
      </c>
      <c r="AG20">
        <v>26.757432999991501</v>
      </c>
      <c r="AH20">
        <v>26.757432999991501</v>
      </c>
      <c r="AI20">
        <v>26.757432999991501</v>
      </c>
      <c r="AJ20">
        <v>3.5234999959357E-3</v>
      </c>
      <c r="AK20">
        <v>30.8441383000172</v>
      </c>
      <c r="AL20" t="s">
        <v>70</v>
      </c>
      <c r="AM20" t="s">
        <v>194</v>
      </c>
      <c r="AN20" t="s">
        <v>169</v>
      </c>
      <c r="AO20" t="s">
        <v>77</v>
      </c>
      <c r="AP20" t="s">
        <v>78</v>
      </c>
      <c r="AQ20" t="s">
        <v>78</v>
      </c>
      <c r="AR20" t="s">
        <v>198</v>
      </c>
      <c r="AS20" t="s">
        <v>80</v>
      </c>
      <c r="AU20">
        <v>385697</v>
      </c>
      <c r="AV20">
        <v>1</v>
      </c>
      <c r="AW20" t="s">
        <v>192</v>
      </c>
      <c r="AX20" t="s">
        <v>56</v>
      </c>
      <c r="AZ20" t="s">
        <v>57</v>
      </c>
      <c r="BA20">
        <v>59.990485506388701</v>
      </c>
      <c r="BB20" t="s">
        <v>193</v>
      </c>
    </row>
    <row r="21" spans="2:54" x14ac:dyDescent="0.35">
      <c r="B21">
        <v>4</v>
      </c>
      <c r="C21">
        <v>4</v>
      </c>
      <c r="D21">
        <v>0</v>
      </c>
      <c r="F21" s="2">
        <v>1</v>
      </c>
      <c r="G21" t="s">
        <v>106</v>
      </c>
      <c r="H21" t="s">
        <v>107</v>
      </c>
      <c r="I21" t="s">
        <v>194</v>
      </c>
      <c r="J21" t="s">
        <v>169</v>
      </c>
      <c r="K21" t="s">
        <v>77</v>
      </c>
      <c r="L21" t="s">
        <v>78</v>
      </c>
      <c r="M21" t="s">
        <v>78</v>
      </c>
      <c r="N21" t="s">
        <v>199</v>
      </c>
      <c r="O21" t="s">
        <v>80</v>
      </c>
      <c r="T21">
        <v>0</v>
      </c>
      <c r="U21">
        <v>4</v>
      </c>
      <c r="V21">
        <v>4</v>
      </c>
      <c r="W21">
        <v>5</v>
      </c>
      <c r="X21">
        <v>30.858701000019199</v>
      </c>
      <c r="AF21">
        <v>30.847064000001399</v>
      </c>
      <c r="AG21">
        <v>30.858701000019199</v>
      </c>
      <c r="AH21">
        <v>30.858701000019199</v>
      </c>
      <c r="AI21">
        <v>30.858701000019199</v>
      </c>
      <c r="AJ21">
        <v>2.7937999984715099E-3</v>
      </c>
      <c r="AK21">
        <v>36.391763799998401</v>
      </c>
      <c r="AL21" t="s">
        <v>107</v>
      </c>
      <c r="AM21" t="s">
        <v>194</v>
      </c>
      <c r="AN21" t="s">
        <v>169</v>
      </c>
      <c r="AO21" t="s">
        <v>77</v>
      </c>
      <c r="AP21" t="s">
        <v>78</v>
      </c>
      <c r="AQ21" t="s">
        <v>78</v>
      </c>
      <c r="AR21" t="s">
        <v>199</v>
      </c>
      <c r="AS21" t="s">
        <v>80</v>
      </c>
      <c r="AU21">
        <v>385697</v>
      </c>
      <c r="AV21">
        <v>1</v>
      </c>
      <c r="AW21" t="s">
        <v>192</v>
      </c>
      <c r="AX21" t="s">
        <v>56</v>
      </c>
      <c r="AZ21" t="s">
        <v>57</v>
      </c>
      <c r="BA21">
        <v>59.990485506388701</v>
      </c>
      <c r="BB21" t="s">
        <v>193</v>
      </c>
    </row>
    <row r="22" spans="2:54" x14ac:dyDescent="0.35">
      <c r="B22">
        <v>5</v>
      </c>
      <c r="C22">
        <v>5</v>
      </c>
      <c r="D22">
        <v>0</v>
      </c>
      <c r="F22" s="2">
        <v>1</v>
      </c>
      <c r="G22" t="s">
        <v>92</v>
      </c>
      <c r="H22" t="s">
        <v>69</v>
      </c>
      <c r="I22" t="s">
        <v>194</v>
      </c>
      <c r="J22" t="s">
        <v>169</v>
      </c>
      <c r="K22" t="s">
        <v>77</v>
      </c>
      <c r="L22" t="s">
        <v>78</v>
      </c>
      <c r="M22" t="s">
        <v>78</v>
      </c>
      <c r="N22" t="s">
        <v>200</v>
      </c>
      <c r="O22" t="s">
        <v>80</v>
      </c>
      <c r="T22">
        <v>0</v>
      </c>
      <c r="U22">
        <v>5</v>
      </c>
      <c r="V22">
        <v>5</v>
      </c>
      <c r="W22">
        <v>0</v>
      </c>
      <c r="X22">
        <v>36.407039900019299</v>
      </c>
      <c r="AF22">
        <v>36.395300200005202</v>
      </c>
      <c r="AG22">
        <v>36.407039900019299</v>
      </c>
      <c r="AH22">
        <v>36.407039900019299</v>
      </c>
      <c r="AI22">
        <v>36.407039900019299</v>
      </c>
      <c r="AJ22">
        <v>3.4045000211335701E-3</v>
      </c>
      <c r="AK22">
        <v>40.8085253000026</v>
      </c>
      <c r="AL22" t="s">
        <v>69</v>
      </c>
      <c r="AM22" t="s">
        <v>194</v>
      </c>
      <c r="AN22" t="s">
        <v>169</v>
      </c>
      <c r="AO22" t="s">
        <v>77</v>
      </c>
      <c r="AP22" t="s">
        <v>78</v>
      </c>
      <c r="AQ22" t="s">
        <v>78</v>
      </c>
      <c r="AR22" t="s">
        <v>200</v>
      </c>
      <c r="AS22" t="s">
        <v>80</v>
      </c>
      <c r="AU22">
        <v>385697</v>
      </c>
      <c r="AV22">
        <v>1</v>
      </c>
      <c r="AW22" t="s">
        <v>192</v>
      </c>
      <c r="AX22" t="s">
        <v>56</v>
      </c>
      <c r="AZ22" t="s">
        <v>57</v>
      </c>
      <c r="BA22">
        <v>59.990485506388701</v>
      </c>
      <c r="BB22" t="s">
        <v>193</v>
      </c>
    </row>
    <row r="23" spans="2:54" x14ac:dyDescent="0.35">
      <c r="B23">
        <v>6</v>
      </c>
      <c r="C23">
        <v>6</v>
      </c>
      <c r="D23">
        <v>0</v>
      </c>
      <c r="F23" s="2">
        <v>1</v>
      </c>
      <c r="G23" t="s">
        <v>94</v>
      </c>
      <c r="H23" t="s">
        <v>201</v>
      </c>
      <c r="I23" t="s">
        <v>194</v>
      </c>
      <c r="J23" t="s">
        <v>169</v>
      </c>
      <c r="K23" t="s">
        <v>77</v>
      </c>
      <c r="L23" t="s">
        <v>78</v>
      </c>
      <c r="M23" t="s">
        <v>78</v>
      </c>
      <c r="N23" t="s">
        <v>202</v>
      </c>
      <c r="O23" t="s">
        <v>80</v>
      </c>
      <c r="T23">
        <v>0</v>
      </c>
      <c r="U23">
        <v>6</v>
      </c>
      <c r="V23">
        <v>6</v>
      </c>
      <c r="W23">
        <v>3</v>
      </c>
      <c r="X23">
        <v>40.823571899993098</v>
      </c>
      <c r="AF23">
        <v>40.811843100003898</v>
      </c>
      <c r="AG23">
        <v>40.823571899993098</v>
      </c>
      <c r="AH23">
        <v>40.823571899993098</v>
      </c>
      <c r="AI23">
        <v>40.823571899993098</v>
      </c>
      <c r="AJ23">
        <v>3.18639999022707E-3</v>
      </c>
      <c r="AK23">
        <v>46.176946999999899</v>
      </c>
      <c r="AL23" t="s">
        <v>201</v>
      </c>
      <c r="AM23" t="s">
        <v>194</v>
      </c>
      <c r="AN23" t="s">
        <v>169</v>
      </c>
      <c r="AO23" t="s">
        <v>77</v>
      </c>
      <c r="AP23" t="s">
        <v>78</v>
      </c>
      <c r="AQ23" t="s">
        <v>78</v>
      </c>
      <c r="AR23" t="s">
        <v>202</v>
      </c>
      <c r="AS23" t="s">
        <v>80</v>
      </c>
      <c r="AU23">
        <v>385697</v>
      </c>
      <c r="AV23">
        <v>1</v>
      </c>
      <c r="AW23" t="s">
        <v>192</v>
      </c>
      <c r="AX23" t="s">
        <v>56</v>
      </c>
      <c r="AZ23" t="s">
        <v>57</v>
      </c>
      <c r="BA23">
        <v>59.990485506388701</v>
      </c>
      <c r="BB23" t="s">
        <v>193</v>
      </c>
    </row>
    <row r="24" spans="2:54" x14ac:dyDescent="0.35">
      <c r="B24">
        <v>7</v>
      </c>
      <c r="C24">
        <v>7</v>
      </c>
      <c r="D24">
        <v>0</v>
      </c>
      <c r="F24" s="5">
        <v>0</v>
      </c>
      <c r="G24" s="6" t="s">
        <v>125</v>
      </c>
      <c r="H24" s="6" t="s">
        <v>203</v>
      </c>
      <c r="I24" t="s">
        <v>194</v>
      </c>
      <c r="J24" t="s">
        <v>169</v>
      </c>
      <c r="K24" t="s">
        <v>77</v>
      </c>
      <c r="L24" t="s">
        <v>78</v>
      </c>
      <c r="M24" t="s">
        <v>78</v>
      </c>
      <c r="N24" t="s">
        <v>204</v>
      </c>
      <c r="O24" t="s">
        <v>80</v>
      </c>
      <c r="T24">
        <v>0</v>
      </c>
      <c r="U24">
        <v>7</v>
      </c>
      <c r="V24">
        <v>7</v>
      </c>
      <c r="W24">
        <v>17</v>
      </c>
      <c r="X24">
        <v>46.193007900001199</v>
      </c>
      <c r="AF24">
        <v>46.181668500008499</v>
      </c>
      <c r="AG24">
        <v>46.193007900001199</v>
      </c>
      <c r="AH24">
        <v>46.193007900001199</v>
      </c>
      <c r="AI24">
        <v>46.193007900001199</v>
      </c>
      <c r="AJ24">
        <v>4.5916000090073699E-3</v>
      </c>
      <c r="AK24">
        <v>55.892835900012798</v>
      </c>
      <c r="AL24" t="s">
        <v>203</v>
      </c>
      <c r="AM24" t="s">
        <v>194</v>
      </c>
      <c r="AN24" t="s">
        <v>169</v>
      </c>
      <c r="AO24" t="s">
        <v>77</v>
      </c>
      <c r="AP24" t="s">
        <v>78</v>
      </c>
      <c r="AQ24" t="s">
        <v>78</v>
      </c>
      <c r="AR24" t="s">
        <v>204</v>
      </c>
      <c r="AS24" t="s">
        <v>80</v>
      </c>
      <c r="AU24">
        <v>385697</v>
      </c>
      <c r="AV24">
        <v>1</v>
      </c>
      <c r="AW24" t="s">
        <v>192</v>
      </c>
      <c r="AX24" t="s">
        <v>56</v>
      </c>
      <c r="AZ24" t="s">
        <v>57</v>
      </c>
      <c r="BA24">
        <v>59.990485506388701</v>
      </c>
      <c r="BB24" t="s">
        <v>193</v>
      </c>
    </row>
    <row r="25" spans="2:54" x14ac:dyDescent="0.35">
      <c r="B25">
        <v>8</v>
      </c>
      <c r="C25">
        <v>8</v>
      </c>
      <c r="D25">
        <v>0</v>
      </c>
      <c r="F25" s="2">
        <v>1</v>
      </c>
      <c r="G25" t="s">
        <v>190</v>
      </c>
      <c r="H25" t="s">
        <v>61</v>
      </c>
      <c r="I25" t="s">
        <v>194</v>
      </c>
      <c r="J25" t="s">
        <v>169</v>
      </c>
      <c r="K25" t="s">
        <v>77</v>
      </c>
      <c r="L25" t="s">
        <v>78</v>
      </c>
      <c r="M25" t="s">
        <v>78</v>
      </c>
      <c r="N25" t="s">
        <v>205</v>
      </c>
      <c r="O25" t="s">
        <v>80</v>
      </c>
      <c r="T25">
        <v>0</v>
      </c>
      <c r="U25">
        <v>8</v>
      </c>
      <c r="V25">
        <v>8</v>
      </c>
      <c r="W25">
        <v>4</v>
      </c>
      <c r="X25">
        <v>55.907145700009998</v>
      </c>
      <c r="AF25">
        <v>55.8959873999992</v>
      </c>
      <c r="AG25">
        <v>55.907145700009998</v>
      </c>
      <c r="AH25">
        <v>55.907145700009998</v>
      </c>
      <c r="AI25">
        <v>55.907145700009998</v>
      </c>
      <c r="AJ25">
        <v>3.0200000037439098E-3</v>
      </c>
      <c r="AK25">
        <v>63.826582400011802</v>
      </c>
      <c r="AL25" t="s">
        <v>61</v>
      </c>
      <c r="AM25" t="s">
        <v>194</v>
      </c>
      <c r="AN25" t="s">
        <v>169</v>
      </c>
      <c r="AO25" t="s">
        <v>77</v>
      </c>
      <c r="AP25" t="s">
        <v>78</v>
      </c>
      <c r="AQ25" t="s">
        <v>78</v>
      </c>
      <c r="AR25" t="s">
        <v>205</v>
      </c>
      <c r="AS25" t="s">
        <v>80</v>
      </c>
      <c r="AU25">
        <v>385697</v>
      </c>
      <c r="AV25">
        <v>1</v>
      </c>
      <c r="AW25" t="s">
        <v>192</v>
      </c>
      <c r="AX25" t="s">
        <v>56</v>
      </c>
      <c r="AZ25" t="s">
        <v>57</v>
      </c>
      <c r="BA25">
        <v>59.990485506388701</v>
      </c>
      <c r="BB25" t="s">
        <v>193</v>
      </c>
    </row>
    <row r="26" spans="2:54" x14ac:dyDescent="0.35">
      <c r="B26">
        <v>9</v>
      </c>
      <c r="C26">
        <v>9</v>
      </c>
      <c r="D26">
        <v>0</v>
      </c>
      <c r="F26" s="2"/>
      <c r="G26" t="s">
        <v>103</v>
      </c>
      <c r="I26" t="s">
        <v>194</v>
      </c>
      <c r="J26" t="s">
        <v>169</v>
      </c>
      <c r="K26" t="s">
        <v>77</v>
      </c>
      <c r="L26" t="s">
        <v>78</v>
      </c>
      <c r="M26" t="s">
        <v>78</v>
      </c>
      <c r="N26" t="s">
        <v>206</v>
      </c>
      <c r="O26" t="s">
        <v>80</v>
      </c>
      <c r="T26">
        <v>0</v>
      </c>
      <c r="U26">
        <v>9</v>
      </c>
      <c r="V26">
        <v>9</v>
      </c>
      <c r="W26">
        <v>12</v>
      </c>
      <c r="X26">
        <v>63.841012899996699</v>
      </c>
      <c r="AF26">
        <v>63.829789400013397</v>
      </c>
      <c r="AG26">
        <v>63.841012899996699</v>
      </c>
      <c r="AH26">
        <v>63.841012899996699</v>
      </c>
      <c r="AI26">
        <v>63.841012899996699</v>
      </c>
      <c r="AJ26">
        <v>3.0748000135645201E-3</v>
      </c>
      <c r="AK26">
        <v>76.224851200007805</v>
      </c>
      <c r="AM26" t="s">
        <v>194</v>
      </c>
      <c r="AN26" t="s">
        <v>169</v>
      </c>
      <c r="AO26" t="s">
        <v>77</v>
      </c>
      <c r="AP26" t="s">
        <v>78</v>
      </c>
      <c r="AQ26" t="s">
        <v>78</v>
      </c>
      <c r="AR26" t="s">
        <v>206</v>
      </c>
      <c r="AS26" t="s">
        <v>80</v>
      </c>
      <c r="AT26">
        <v>73.841115300019695</v>
      </c>
      <c r="AU26">
        <v>385697</v>
      </c>
      <c r="AV26">
        <v>1</v>
      </c>
      <c r="AW26" t="s">
        <v>192</v>
      </c>
      <c r="AX26" t="s">
        <v>56</v>
      </c>
      <c r="AZ26" t="s">
        <v>57</v>
      </c>
      <c r="BA26">
        <v>59.990485506388701</v>
      </c>
      <c r="BB26" t="s">
        <v>193</v>
      </c>
    </row>
    <row r="27" spans="2:54" x14ac:dyDescent="0.35">
      <c r="B27">
        <v>10</v>
      </c>
      <c r="C27">
        <v>10</v>
      </c>
      <c r="D27">
        <v>0</v>
      </c>
      <c r="F27" s="5">
        <v>1</v>
      </c>
      <c r="G27" s="6" t="s">
        <v>98</v>
      </c>
      <c r="H27" s="6" t="s">
        <v>151</v>
      </c>
      <c r="I27" t="s">
        <v>194</v>
      </c>
      <c r="J27" t="s">
        <v>169</v>
      </c>
      <c r="K27" t="s">
        <v>77</v>
      </c>
      <c r="L27" t="s">
        <v>78</v>
      </c>
      <c r="M27" t="s">
        <v>78</v>
      </c>
      <c r="N27" t="s">
        <v>207</v>
      </c>
      <c r="O27" t="s">
        <v>80</v>
      </c>
      <c r="T27">
        <v>0</v>
      </c>
      <c r="U27">
        <v>10</v>
      </c>
      <c r="V27">
        <v>10</v>
      </c>
      <c r="W27">
        <v>15</v>
      </c>
      <c r="X27">
        <v>76.240191399992895</v>
      </c>
      <c r="AF27">
        <v>76.228124599991105</v>
      </c>
      <c r="AG27">
        <v>76.240191399992895</v>
      </c>
      <c r="AH27">
        <v>76.240191399992895</v>
      </c>
      <c r="AI27">
        <v>76.240191399992895</v>
      </c>
      <c r="AJ27">
        <v>3.14019998768344E-3</v>
      </c>
      <c r="AK27">
        <v>80.376411300007007</v>
      </c>
      <c r="AL27" t="s">
        <v>151</v>
      </c>
      <c r="AM27" t="s">
        <v>194</v>
      </c>
      <c r="AN27" t="s">
        <v>169</v>
      </c>
      <c r="AO27" t="s">
        <v>77</v>
      </c>
      <c r="AP27" t="s">
        <v>78</v>
      </c>
      <c r="AQ27" t="s">
        <v>78</v>
      </c>
      <c r="AR27" t="s">
        <v>207</v>
      </c>
      <c r="AS27" t="s">
        <v>80</v>
      </c>
      <c r="AU27">
        <v>385697</v>
      </c>
      <c r="AV27">
        <v>1</v>
      </c>
      <c r="AW27" t="s">
        <v>192</v>
      </c>
      <c r="AX27" t="s">
        <v>56</v>
      </c>
      <c r="AZ27" t="s">
        <v>57</v>
      </c>
      <c r="BA27">
        <v>59.990485506388701</v>
      </c>
      <c r="BB27" t="s">
        <v>193</v>
      </c>
    </row>
    <row r="28" spans="2:54" x14ac:dyDescent="0.35">
      <c r="B28">
        <v>11</v>
      </c>
      <c r="C28">
        <v>11</v>
      </c>
      <c r="D28">
        <v>0</v>
      </c>
      <c r="F28" s="2">
        <v>1</v>
      </c>
      <c r="G28" t="s">
        <v>136</v>
      </c>
      <c r="H28" t="s">
        <v>137</v>
      </c>
      <c r="I28" t="s">
        <v>194</v>
      </c>
      <c r="J28" t="s">
        <v>169</v>
      </c>
      <c r="K28" t="s">
        <v>77</v>
      </c>
      <c r="L28" t="s">
        <v>78</v>
      </c>
      <c r="M28" t="s">
        <v>78</v>
      </c>
      <c r="N28" t="s">
        <v>208</v>
      </c>
      <c r="O28" t="s">
        <v>80</v>
      </c>
      <c r="T28">
        <v>0</v>
      </c>
      <c r="U28">
        <v>11</v>
      </c>
      <c r="V28">
        <v>11</v>
      </c>
      <c r="W28">
        <v>2</v>
      </c>
      <c r="X28">
        <v>80.391436400008303</v>
      </c>
      <c r="AF28">
        <v>80.379563399998005</v>
      </c>
      <c r="AG28">
        <v>80.391436400008303</v>
      </c>
      <c r="AH28">
        <v>80.391436400008303</v>
      </c>
      <c r="AI28">
        <v>80.391436400008303</v>
      </c>
      <c r="AJ28">
        <v>3.0108999926596802E-3</v>
      </c>
      <c r="AK28">
        <v>83.874860100011503</v>
      </c>
      <c r="AL28" t="s">
        <v>137</v>
      </c>
      <c r="AM28" t="s">
        <v>194</v>
      </c>
      <c r="AN28" t="s">
        <v>169</v>
      </c>
      <c r="AO28" t="s">
        <v>77</v>
      </c>
      <c r="AP28" t="s">
        <v>78</v>
      </c>
      <c r="AQ28" t="s">
        <v>78</v>
      </c>
      <c r="AR28" t="s">
        <v>208</v>
      </c>
      <c r="AS28" t="s">
        <v>80</v>
      </c>
      <c r="AU28">
        <v>385697</v>
      </c>
      <c r="AV28">
        <v>1</v>
      </c>
      <c r="AW28" t="s">
        <v>192</v>
      </c>
      <c r="AX28" t="s">
        <v>56</v>
      </c>
      <c r="AZ28" t="s">
        <v>57</v>
      </c>
      <c r="BA28">
        <v>59.990485506388701</v>
      </c>
      <c r="BB28" t="s">
        <v>193</v>
      </c>
    </row>
    <row r="29" spans="2:54" x14ac:dyDescent="0.35">
      <c r="B29">
        <v>12</v>
      </c>
      <c r="C29">
        <v>12</v>
      </c>
      <c r="D29">
        <v>0</v>
      </c>
      <c r="F29" s="5">
        <v>1</v>
      </c>
      <c r="G29" s="6" t="s">
        <v>81</v>
      </c>
      <c r="H29" s="6" t="s">
        <v>82</v>
      </c>
      <c r="I29" t="s">
        <v>194</v>
      </c>
      <c r="J29" t="s">
        <v>169</v>
      </c>
      <c r="K29" t="s">
        <v>77</v>
      </c>
      <c r="L29" t="s">
        <v>78</v>
      </c>
      <c r="M29" t="s">
        <v>78</v>
      </c>
      <c r="N29" t="s">
        <v>209</v>
      </c>
      <c r="O29" t="s">
        <v>80</v>
      </c>
      <c r="T29">
        <v>0</v>
      </c>
      <c r="U29">
        <v>12</v>
      </c>
      <c r="V29">
        <v>12</v>
      </c>
      <c r="W29">
        <v>19</v>
      </c>
      <c r="X29">
        <v>83.890306799992601</v>
      </c>
      <c r="AF29">
        <v>83.878634099994002</v>
      </c>
      <c r="AG29">
        <v>83.890306799992601</v>
      </c>
      <c r="AH29">
        <v>83.890306799992601</v>
      </c>
      <c r="AI29">
        <v>83.890306799992601</v>
      </c>
      <c r="AJ29">
        <v>3.5576999944169001E-3</v>
      </c>
      <c r="AK29">
        <v>88.0749854000168</v>
      </c>
      <c r="AL29" t="s">
        <v>82</v>
      </c>
      <c r="AM29" t="s">
        <v>194</v>
      </c>
      <c r="AN29" t="s">
        <v>169</v>
      </c>
      <c r="AO29" t="s">
        <v>77</v>
      </c>
      <c r="AP29" t="s">
        <v>78</v>
      </c>
      <c r="AQ29" t="s">
        <v>78</v>
      </c>
      <c r="AR29" t="s">
        <v>209</v>
      </c>
      <c r="AS29" t="s">
        <v>80</v>
      </c>
      <c r="AU29">
        <v>385697</v>
      </c>
      <c r="AV29">
        <v>1</v>
      </c>
      <c r="AW29" t="s">
        <v>192</v>
      </c>
      <c r="AX29" t="s">
        <v>56</v>
      </c>
      <c r="AZ29" t="s">
        <v>57</v>
      </c>
      <c r="BA29">
        <v>59.990485506388701</v>
      </c>
      <c r="BB29" t="s">
        <v>193</v>
      </c>
    </row>
    <row r="30" spans="2:54" x14ac:dyDescent="0.35">
      <c r="B30">
        <v>13</v>
      </c>
      <c r="C30">
        <v>13</v>
      </c>
      <c r="D30">
        <v>0</v>
      </c>
      <c r="F30" s="5">
        <v>1</v>
      </c>
      <c r="G30" s="6" t="s">
        <v>73</v>
      </c>
      <c r="H30" s="6" t="s">
        <v>74</v>
      </c>
      <c r="I30" t="s">
        <v>194</v>
      </c>
      <c r="J30" t="s">
        <v>169</v>
      </c>
      <c r="K30" t="s">
        <v>77</v>
      </c>
      <c r="L30" t="s">
        <v>78</v>
      </c>
      <c r="M30" t="s">
        <v>78</v>
      </c>
      <c r="N30" t="s">
        <v>210</v>
      </c>
      <c r="O30" t="s">
        <v>80</v>
      </c>
      <c r="T30">
        <v>0</v>
      </c>
      <c r="U30">
        <v>13</v>
      </c>
      <c r="V30">
        <v>13</v>
      </c>
      <c r="W30">
        <v>16</v>
      </c>
      <c r="X30">
        <v>88.089949400018597</v>
      </c>
      <c r="AF30">
        <v>88.078218500013406</v>
      </c>
      <c r="AG30">
        <v>88.089949400018597</v>
      </c>
      <c r="AH30">
        <v>88.089949400018597</v>
      </c>
      <c r="AI30">
        <v>88.089949400018597</v>
      </c>
      <c r="AJ30">
        <v>3.1024999916553402E-3</v>
      </c>
      <c r="AK30">
        <v>91.076170300017097</v>
      </c>
      <c r="AL30" t="s">
        <v>74</v>
      </c>
      <c r="AM30" t="s">
        <v>194</v>
      </c>
      <c r="AN30" t="s">
        <v>169</v>
      </c>
      <c r="AO30" t="s">
        <v>77</v>
      </c>
      <c r="AP30" t="s">
        <v>78</v>
      </c>
      <c r="AQ30" t="s">
        <v>78</v>
      </c>
      <c r="AR30" t="s">
        <v>210</v>
      </c>
      <c r="AS30" t="s">
        <v>80</v>
      </c>
      <c r="AU30">
        <v>385697</v>
      </c>
      <c r="AV30">
        <v>1</v>
      </c>
      <c r="AW30" t="s">
        <v>192</v>
      </c>
      <c r="AX30" t="s">
        <v>56</v>
      </c>
      <c r="AZ30" t="s">
        <v>57</v>
      </c>
      <c r="BA30">
        <v>59.990485506388701</v>
      </c>
      <c r="BB30" t="s">
        <v>193</v>
      </c>
    </row>
    <row r="31" spans="2:54" x14ac:dyDescent="0.35">
      <c r="B31">
        <v>14</v>
      </c>
      <c r="C31">
        <v>14</v>
      </c>
      <c r="D31">
        <v>0</v>
      </c>
      <c r="F31" s="2">
        <v>1</v>
      </c>
      <c r="G31" t="s">
        <v>128</v>
      </c>
      <c r="H31" t="s">
        <v>162</v>
      </c>
      <c r="I31" t="s">
        <v>194</v>
      </c>
      <c r="J31" t="s">
        <v>169</v>
      </c>
      <c r="K31" t="s">
        <v>77</v>
      </c>
      <c r="L31" t="s">
        <v>78</v>
      </c>
      <c r="M31" t="s">
        <v>78</v>
      </c>
      <c r="N31" t="s">
        <v>211</v>
      </c>
      <c r="O31" t="s">
        <v>80</v>
      </c>
      <c r="T31">
        <v>0</v>
      </c>
      <c r="U31">
        <v>14</v>
      </c>
      <c r="V31">
        <v>14</v>
      </c>
      <c r="W31">
        <v>7</v>
      </c>
      <c r="X31">
        <v>91.090422000008402</v>
      </c>
      <c r="AF31">
        <v>91.079328099993205</v>
      </c>
      <c r="AG31">
        <v>91.090422000008402</v>
      </c>
      <c r="AH31">
        <v>91.090422000008402</v>
      </c>
      <c r="AI31">
        <v>91.090422000008402</v>
      </c>
      <c r="AJ31">
        <v>3.0241000058595E-3</v>
      </c>
      <c r="AK31">
        <v>95.526291799993402</v>
      </c>
      <c r="AL31" t="s">
        <v>162</v>
      </c>
      <c r="AM31" t="s">
        <v>194</v>
      </c>
      <c r="AN31" t="s">
        <v>169</v>
      </c>
      <c r="AO31" t="s">
        <v>77</v>
      </c>
      <c r="AP31" t="s">
        <v>78</v>
      </c>
      <c r="AQ31" t="s">
        <v>78</v>
      </c>
      <c r="AR31" t="s">
        <v>211</v>
      </c>
      <c r="AS31" t="s">
        <v>80</v>
      </c>
      <c r="AU31">
        <v>385697</v>
      </c>
      <c r="AV31">
        <v>1</v>
      </c>
      <c r="AW31" t="s">
        <v>192</v>
      </c>
      <c r="AX31" t="s">
        <v>56</v>
      </c>
      <c r="AZ31" t="s">
        <v>57</v>
      </c>
      <c r="BA31">
        <v>59.990485506388701</v>
      </c>
      <c r="BB31" t="s">
        <v>193</v>
      </c>
    </row>
    <row r="32" spans="2:54" x14ac:dyDescent="0.35">
      <c r="B32">
        <v>15</v>
      </c>
      <c r="C32">
        <v>15</v>
      </c>
      <c r="D32">
        <v>0</v>
      </c>
      <c r="F32" s="2">
        <v>0</v>
      </c>
      <c r="G32" t="s">
        <v>118</v>
      </c>
      <c r="H32" t="s">
        <v>212</v>
      </c>
      <c r="I32" t="s">
        <v>194</v>
      </c>
      <c r="J32" t="s">
        <v>169</v>
      </c>
      <c r="K32" t="s">
        <v>77</v>
      </c>
      <c r="L32" t="s">
        <v>78</v>
      </c>
      <c r="M32" t="s">
        <v>78</v>
      </c>
      <c r="N32" t="s">
        <v>213</v>
      </c>
      <c r="O32" t="s">
        <v>80</v>
      </c>
      <c r="T32">
        <v>0</v>
      </c>
      <c r="U32">
        <v>15</v>
      </c>
      <c r="V32">
        <v>15</v>
      </c>
      <c r="W32">
        <v>14</v>
      </c>
      <c r="X32">
        <v>95.541281600017101</v>
      </c>
      <c r="AF32">
        <v>95.529487899999296</v>
      </c>
      <c r="AG32">
        <v>95.541281600017101</v>
      </c>
      <c r="AH32">
        <v>95.541281600017101</v>
      </c>
      <c r="AI32">
        <v>95.541281600017101</v>
      </c>
      <c r="AJ32">
        <v>3.06270000874064E-3</v>
      </c>
      <c r="AK32">
        <v>98.6093906000023</v>
      </c>
      <c r="AL32" t="s">
        <v>212</v>
      </c>
      <c r="AM32" t="s">
        <v>194</v>
      </c>
      <c r="AN32" t="s">
        <v>169</v>
      </c>
      <c r="AO32" t="s">
        <v>77</v>
      </c>
      <c r="AP32" t="s">
        <v>78</v>
      </c>
      <c r="AQ32" t="s">
        <v>78</v>
      </c>
      <c r="AR32" t="s">
        <v>213</v>
      </c>
      <c r="AS32" t="s">
        <v>80</v>
      </c>
      <c r="AU32">
        <v>385697</v>
      </c>
      <c r="AV32">
        <v>1</v>
      </c>
      <c r="AW32" t="s">
        <v>192</v>
      </c>
      <c r="AX32" t="s">
        <v>56</v>
      </c>
      <c r="AZ32" t="s">
        <v>57</v>
      </c>
      <c r="BA32">
        <v>59.990485506388701</v>
      </c>
      <c r="BB32" t="s">
        <v>193</v>
      </c>
    </row>
    <row r="33" spans="2:54" x14ac:dyDescent="0.35">
      <c r="B33">
        <v>16</v>
      </c>
      <c r="C33">
        <v>16</v>
      </c>
      <c r="D33">
        <v>0</v>
      </c>
      <c r="F33" s="2">
        <v>1</v>
      </c>
      <c r="G33" t="s">
        <v>101</v>
      </c>
      <c r="H33" t="s">
        <v>63</v>
      </c>
      <c r="I33" t="s">
        <v>194</v>
      </c>
      <c r="J33" t="s">
        <v>169</v>
      </c>
      <c r="K33" t="s">
        <v>77</v>
      </c>
      <c r="L33" t="s">
        <v>78</v>
      </c>
      <c r="M33" t="s">
        <v>78</v>
      </c>
      <c r="N33" t="s">
        <v>214</v>
      </c>
      <c r="O33" t="s">
        <v>80</v>
      </c>
      <c r="T33">
        <v>0</v>
      </c>
      <c r="U33">
        <v>16</v>
      </c>
      <c r="V33">
        <v>16</v>
      </c>
      <c r="W33">
        <v>8</v>
      </c>
      <c r="X33">
        <v>98.625973200017995</v>
      </c>
      <c r="AF33">
        <v>98.614114800002397</v>
      </c>
      <c r="AG33">
        <v>98.625973200017995</v>
      </c>
      <c r="AH33">
        <v>98.625973200017995</v>
      </c>
      <c r="AI33">
        <v>98.625973200017995</v>
      </c>
      <c r="AJ33">
        <v>4.5960000134073198E-3</v>
      </c>
      <c r="AK33">
        <v>101.492930900014</v>
      </c>
      <c r="AL33" t="s">
        <v>63</v>
      </c>
      <c r="AM33" t="s">
        <v>194</v>
      </c>
      <c r="AN33" t="s">
        <v>169</v>
      </c>
      <c r="AO33" t="s">
        <v>77</v>
      </c>
      <c r="AP33" t="s">
        <v>78</v>
      </c>
      <c r="AQ33" t="s">
        <v>78</v>
      </c>
      <c r="AR33" t="s">
        <v>214</v>
      </c>
      <c r="AS33" t="s">
        <v>80</v>
      </c>
      <c r="AU33">
        <v>385697</v>
      </c>
      <c r="AV33">
        <v>1</v>
      </c>
      <c r="AW33" t="s">
        <v>192</v>
      </c>
      <c r="AX33" t="s">
        <v>56</v>
      </c>
      <c r="AZ33" t="s">
        <v>57</v>
      </c>
      <c r="BA33">
        <v>59.990485506388701</v>
      </c>
      <c r="BB33" t="s">
        <v>193</v>
      </c>
    </row>
    <row r="34" spans="2:54" x14ac:dyDescent="0.35">
      <c r="B34">
        <v>17</v>
      </c>
      <c r="C34">
        <v>17</v>
      </c>
      <c r="D34">
        <v>0</v>
      </c>
      <c r="F34" s="2">
        <v>1</v>
      </c>
      <c r="G34" t="s">
        <v>111</v>
      </c>
      <c r="H34" t="s">
        <v>177</v>
      </c>
      <c r="I34" t="s">
        <v>194</v>
      </c>
      <c r="J34" t="s">
        <v>169</v>
      </c>
      <c r="K34" t="s">
        <v>77</v>
      </c>
      <c r="L34" t="s">
        <v>78</v>
      </c>
      <c r="M34" t="s">
        <v>78</v>
      </c>
      <c r="N34" t="s">
        <v>215</v>
      </c>
      <c r="O34" t="s">
        <v>80</v>
      </c>
      <c r="T34">
        <v>0</v>
      </c>
      <c r="U34">
        <v>17</v>
      </c>
      <c r="V34">
        <v>17</v>
      </c>
      <c r="W34">
        <v>9</v>
      </c>
      <c r="X34">
        <v>101.508355500001</v>
      </c>
      <c r="AF34">
        <v>101.49613479999201</v>
      </c>
      <c r="AG34">
        <v>101.508355500001</v>
      </c>
      <c r="AH34">
        <v>101.508355500001</v>
      </c>
      <c r="AI34">
        <v>101.508355500001</v>
      </c>
      <c r="AJ34">
        <v>3.0591000104322999E-3</v>
      </c>
      <c r="AK34">
        <v>105.159779900015</v>
      </c>
      <c r="AL34" t="s">
        <v>177</v>
      </c>
      <c r="AM34" t="s">
        <v>194</v>
      </c>
      <c r="AN34" t="s">
        <v>169</v>
      </c>
      <c r="AO34" t="s">
        <v>77</v>
      </c>
      <c r="AP34" t="s">
        <v>78</v>
      </c>
      <c r="AQ34" t="s">
        <v>78</v>
      </c>
      <c r="AR34" t="s">
        <v>215</v>
      </c>
      <c r="AS34" t="s">
        <v>80</v>
      </c>
      <c r="AU34">
        <v>385697</v>
      </c>
      <c r="AV34">
        <v>1</v>
      </c>
      <c r="AW34" t="s">
        <v>192</v>
      </c>
      <c r="AX34" t="s">
        <v>56</v>
      </c>
      <c r="AZ34" t="s">
        <v>57</v>
      </c>
      <c r="BA34">
        <v>59.990485506388701</v>
      </c>
      <c r="BB34" t="s">
        <v>193</v>
      </c>
    </row>
    <row r="35" spans="2:54" x14ac:dyDescent="0.35">
      <c r="B35">
        <v>18</v>
      </c>
      <c r="C35">
        <v>18</v>
      </c>
      <c r="D35">
        <v>0</v>
      </c>
      <c r="F35" s="2">
        <v>0</v>
      </c>
      <c r="G35" t="s">
        <v>84</v>
      </c>
      <c r="H35" t="s">
        <v>216</v>
      </c>
      <c r="I35" t="s">
        <v>194</v>
      </c>
      <c r="J35" t="s">
        <v>169</v>
      </c>
      <c r="K35" t="s">
        <v>77</v>
      </c>
      <c r="L35" t="s">
        <v>78</v>
      </c>
      <c r="M35" t="s">
        <v>78</v>
      </c>
      <c r="N35" t="s">
        <v>217</v>
      </c>
      <c r="O35" t="s">
        <v>80</v>
      </c>
      <c r="T35">
        <v>0</v>
      </c>
      <c r="U35">
        <v>18</v>
      </c>
      <c r="V35">
        <v>18</v>
      </c>
      <c r="W35">
        <v>13</v>
      </c>
      <c r="X35">
        <v>105.173677100014</v>
      </c>
      <c r="AF35">
        <v>105.162607100006</v>
      </c>
      <c r="AG35">
        <v>105.173677100014</v>
      </c>
      <c r="AH35">
        <v>105.173677100014</v>
      </c>
      <c r="AI35">
        <v>105.173677100014</v>
      </c>
      <c r="AJ35">
        <v>2.6962999836541699E-3</v>
      </c>
      <c r="AK35">
        <v>112.02660050001499</v>
      </c>
      <c r="AL35" t="s">
        <v>216</v>
      </c>
      <c r="AM35" t="s">
        <v>194</v>
      </c>
      <c r="AN35" t="s">
        <v>169</v>
      </c>
      <c r="AO35" t="s">
        <v>77</v>
      </c>
      <c r="AP35" t="s">
        <v>78</v>
      </c>
      <c r="AQ35" t="s">
        <v>78</v>
      </c>
      <c r="AR35" t="s">
        <v>217</v>
      </c>
      <c r="AS35" t="s">
        <v>80</v>
      </c>
      <c r="AU35">
        <v>385697</v>
      </c>
      <c r="AV35">
        <v>1</v>
      </c>
      <c r="AW35" t="s">
        <v>192</v>
      </c>
      <c r="AX35" t="s">
        <v>56</v>
      </c>
      <c r="AZ35" t="s">
        <v>57</v>
      </c>
      <c r="BA35">
        <v>59.990485506388701</v>
      </c>
      <c r="BB35" t="s">
        <v>193</v>
      </c>
    </row>
    <row r="36" spans="2:54" x14ac:dyDescent="0.35">
      <c r="B36">
        <v>19</v>
      </c>
      <c r="C36">
        <v>19</v>
      </c>
      <c r="D36">
        <v>0</v>
      </c>
      <c r="F36" s="2"/>
      <c r="G36" t="s">
        <v>113</v>
      </c>
      <c r="I36" t="s">
        <v>194</v>
      </c>
      <c r="J36" t="s">
        <v>169</v>
      </c>
      <c r="K36" t="s">
        <v>77</v>
      </c>
      <c r="L36" t="s">
        <v>78</v>
      </c>
      <c r="M36" t="s">
        <v>78</v>
      </c>
      <c r="N36" t="s">
        <v>218</v>
      </c>
      <c r="O36" t="s">
        <v>80</v>
      </c>
      <c r="T36">
        <v>0</v>
      </c>
      <c r="U36">
        <v>19</v>
      </c>
      <c r="V36">
        <v>19</v>
      </c>
      <c r="W36">
        <v>1</v>
      </c>
      <c r="X36">
        <v>112.041111500002</v>
      </c>
      <c r="AF36">
        <v>112.029665500012</v>
      </c>
      <c r="AG36">
        <v>112.041111500002</v>
      </c>
      <c r="AH36">
        <v>112.041111500002</v>
      </c>
      <c r="AI36">
        <v>112.041111500002</v>
      </c>
      <c r="AJ36">
        <v>2.9300999885890598E-3</v>
      </c>
      <c r="AK36">
        <v>121.44237460001</v>
      </c>
      <c r="AM36" t="s">
        <v>194</v>
      </c>
      <c r="AN36" t="s">
        <v>169</v>
      </c>
      <c r="AO36" t="s">
        <v>77</v>
      </c>
      <c r="AP36" t="s">
        <v>78</v>
      </c>
      <c r="AQ36" t="s">
        <v>78</v>
      </c>
      <c r="AR36" t="s">
        <v>218</v>
      </c>
      <c r="AS36" t="s">
        <v>80</v>
      </c>
      <c r="AU36">
        <v>385697</v>
      </c>
      <c r="AV36">
        <v>1</v>
      </c>
      <c r="AW36" t="s">
        <v>192</v>
      </c>
      <c r="AX36" t="s">
        <v>56</v>
      </c>
      <c r="AZ36" t="s">
        <v>57</v>
      </c>
      <c r="BA36">
        <v>59.990485506388701</v>
      </c>
      <c r="BB36" t="s">
        <v>193</v>
      </c>
    </row>
    <row r="39" spans="2:54" x14ac:dyDescent="0.35">
      <c r="D39" t="s">
        <v>245</v>
      </c>
      <c r="E39">
        <v>10</v>
      </c>
    </row>
    <row r="40" spans="2:54" x14ac:dyDescent="0.35">
      <c r="D40" t="s">
        <v>248</v>
      </c>
      <c r="E40">
        <v>13</v>
      </c>
    </row>
    <row r="41" spans="2:54" x14ac:dyDescent="0.35">
      <c r="D41" t="s">
        <v>250</v>
      </c>
      <c r="E41">
        <f>E39/E40</f>
        <v>0.76923076923076927</v>
      </c>
    </row>
    <row r="43" spans="2:54" x14ac:dyDescent="0.35">
      <c r="D43" t="s">
        <v>246</v>
      </c>
      <c r="E43">
        <v>4</v>
      </c>
    </row>
    <row r="44" spans="2:54" x14ac:dyDescent="0.35">
      <c r="D44" t="s">
        <v>247</v>
      </c>
      <c r="E44">
        <v>5</v>
      </c>
    </row>
    <row r="45" spans="2:54" x14ac:dyDescent="0.35">
      <c r="D45" t="s">
        <v>249</v>
      </c>
      <c r="E45">
        <f>E43/E44</f>
        <v>0.8</v>
      </c>
    </row>
    <row r="47" spans="2:54" x14ac:dyDescent="0.35">
      <c r="D47" t="s">
        <v>251</v>
      </c>
      <c r="E47">
        <f>E41-E45</f>
        <v>-3.0769230769230771E-2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CE63A-E0EC-4D09-94E6-61466D1AF5F4}">
  <dimension ref="A1:BB47"/>
  <sheetViews>
    <sheetView topLeftCell="A29" workbookViewId="0">
      <selection activeCell="H21" sqref="H21"/>
    </sheetView>
  </sheetViews>
  <sheetFormatPr defaultRowHeight="14.5" x14ac:dyDescent="0.35"/>
  <cols>
    <col min="5" max="5" width="12.7265625" customWidth="1"/>
  </cols>
  <sheetData>
    <row r="1" spans="1:5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5">
      <c r="A2" t="s">
        <v>54</v>
      </c>
      <c r="B2">
        <v>0</v>
      </c>
      <c r="C2">
        <v>0</v>
      </c>
      <c r="D2">
        <v>0</v>
      </c>
      <c r="E2">
        <v>1.0833333333333299</v>
      </c>
      <c r="F2">
        <v>5.4586662000001498</v>
      </c>
      <c r="P2">
        <v>0</v>
      </c>
      <c r="Q2">
        <v>0</v>
      </c>
      <c r="R2">
        <v>0</v>
      </c>
      <c r="S2">
        <v>1</v>
      </c>
      <c r="X2">
        <v>6.4068799998494796E-2</v>
      </c>
      <c r="Z2">
        <v>3.3523500002047499E-2</v>
      </c>
      <c r="AA2">
        <v>6.4068799998494796E-2</v>
      </c>
      <c r="AB2">
        <v>6.4068799998494796E-2</v>
      </c>
      <c r="AC2">
        <v>5.5107141999978904</v>
      </c>
      <c r="AD2">
        <v>1.0833333333333299</v>
      </c>
      <c r="AE2">
        <v>5.4586662000001498</v>
      </c>
      <c r="AU2">
        <v>210934</v>
      </c>
      <c r="AV2">
        <v>1</v>
      </c>
      <c r="AW2" t="s">
        <v>55</v>
      </c>
      <c r="AX2" t="s">
        <v>56</v>
      </c>
      <c r="AZ2" t="s">
        <v>57</v>
      </c>
      <c r="BA2">
        <v>59.944168002473702</v>
      </c>
      <c r="BB2" t="s">
        <v>58</v>
      </c>
    </row>
    <row r="3" spans="1:54" x14ac:dyDescent="0.35">
      <c r="A3" t="s">
        <v>59</v>
      </c>
      <c r="B3">
        <v>1</v>
      </c>
      <c r="C3">
        <v>1</v>
      </c>
      <c r="D3">
        <v>0</v>
      </c>
      <c r="E3">
        <v>1.0833333333333299</v>
      </c>
      <c r="F3">
        <v>2.13927220000186</v>
      </c>
      <c r="P3">
        <v>0</v>
      </c>
      <c r="Q3">
        <v>1</v>
      </c>
      <c r="R3">
        <v>1</v>
      </c>
      <c r="S3">
        <v>8</v>
      </c>
      <c r="X3">
        <v>5.5365966999961502</v>
      </c>
      <c r="Z3">
        <v>5.5205986000000804</v>
      </c>
      <c r="AA3">
        <v>5.5365966999961502</v>
      </c>
      <c r="AB3">
        <v>5.5365966999961502</v>
      </c>
      <c r="AC3">
        <v>7.6755962999959504</v>
      </c>
      <c r="AD3">
        <v>1.0833333333333299</v>
      </c>
      <c r="AE3">
        <v>2.13927220000186</v>
      </c>
      <c r="AU3">
        <v>210934</v>
      </c>
      <c r="AV3">
        <v>1</v>
      </c>
      <c r="AW3" t="s">
        <v>55</v>
      </c>
      <c r="AX3" t="s">
        <v>56</v>
      </c>
      <c r="AZ3" t="s">
        <v>57</v>
      </c>
      <c r="BA3">
        <v>59.944168002473702</v>
      </c>
      <c r="BB3" t="s">
        <v>58</v>
      </c>
    </row>
    <row r="4" spans="1:54" x14ac:dyDescent="0.35">
      <c r="A4" t="s">
        <v>60</v>
      </c>
      <c r="B4">
        <v>2</v>
      </c>
      <c r="C4">
        <v>2</v>
      </c>
      <c r="D4">
        <v>0</v>
      </c>
      <c r="E4">
        <v>1.0833333333333299</v>
      </c>
      <c r="F4">
        <v>1.03919550000136</v>
      </c>
      <c r="P4">
        <v>0</v>
      </c>
      <c r="Q4">
        <v>2</v>
      </c>
      <c r="R4">
        <v>2</v>
      </c>
      <c r="S4">
        <v>3</v>
      </c>
      <c r="X4">
        <v>7.7007585999963304</v>
      </c>
      <c r="Z4">
        <v>7.6851919999971798</v>
      </c>
      <c r="AA4">
        <v>7.7007585999963304</v>
      </c>
      <c r="AB4">
        <v>7.7007585999963304</v>
      </c>
      <c r="AC4">
        <v>8.7403742999958904</v>
      </c>
      <c r="AD4">
        <v>1.0833333333333299</v>
      </c>
      <c r="AE4">
        <v>1.03919550000136</v>
      </c>
      <c r="AU4">
        <v>210934</v>
      </c>
      <c r="AV4">
        <v>1</v>
      </c>
      <c r="AW4" t="s">
        <v>55</v>
      </c>
      <c r="AX4" t="s">
        <v>56</v>
      </c>
      <c r="AZ4" t="s">
        <v>57</v>
      </c>
      <c r="BA4">
        <v>59.944168002473702</v>
      </c>
      <c r="BB4" t="s">
        <v>58</v>
      </c>
    </row>
    <row r="5" spans="1:54" x14ac:dyDescent="0.35">
      <c r="A5" t="s">
        <v>61</v>
      </c>
      <c r="B5">
        <v>3</v>
      </c>
      <c r="C5">
        <v>3</v>
      </c>
      <c r="D5">
        <v>0</v>
      </c>
      <c r="E5">
        <v>1.0833333333333299</v>
      </c>
      <c r="F5">
        <v>1.4544478000025201</v>
      </c>
      <c r="P5">
        <v>0</v>
      </c>
      <c r="Q5">
        <v>3</v>
      </c>
      <c r="R5">
        <v>3</v>
      </c>
      <c r="S5">
        <v>9</v>
      </c>
      <c r="X5">
        <v>8.7651507999980804</v>
      </c>
      <c r="Z5">
        <v>8.7502096000025595</v>
      </c>
      <c r="AA5">
        <v>8.7651507999980804</v>
      </c>
      <c r="AB5">
        <v>8.7651507999980804</v>
      </c>
      <c r="AC5">
        <v>10.2208107999977</v>
      </c>
      <c r="AD5">
        <v>1.0833333333333299</v>
      </c>
      <c r="AE5">
        <v>1.4544478000025201</v>
      </c>
      <c r="AU5">
        <v>210934</v>
      </c>
      <c r="AV5">
        <v>1</v>
      </c>
      <c r="AW5" t="s">
        <v>55</v>
      </c>
      <c r="AX5" t="s">
        <v>56</v>
      </c>
      <c r="AZ5" t="s">
        <v>57</v>
      </c>
      <c r="BA5">
        <v>59.944168002473702</v>
      </c>
      <c r="BB5" t="s">
        <v>58</v>
      </c>
    </row>
    <row r="6" spans="1:54" x14ac:dyDescent="0.35">
      <c r="A6" t="s">
        <v>62</v>
      </c>
      <c r="B6">
        <v>4</v>
      </c>
      <c r="C6">
        <v>4</v>
      </c>
      <c r="D6">
        <v>0</v>
      </c>
      <c r="E6">
        <v>1.0833333333333299</v>
      </c>
      <c r="F6">
        <v>1.0829462000037799</v>
      </c>
      <c r="P6">
        <v>0</v>
      </c>
      <c r="Q6">
        <v>4</v>
      </c>
      <c r="R6">
        <v>4</v>
      </c>
      <c r="S6">
        <v>12</v>
      </c>
      <c r="X6">
        <v>10.243305500000099</v>
      </c>
      <c r="Z6">
        <v>10.228616599997601</v>
      </c>
      <c r="AA6">
        <v>10.243305500000099</v>
      </c>
      <c r="AB6">
        <v>10.243305500000099</v>
      </c>
      <c r="AC6">
        <v>11.3282409000021</v>
      </c>
      <c r="AD6">
        <v>1.0833333333333299</v>
      </c>
      <c r="AE6">
        <v>1.0829462000037799</v>
      </c>
      <c r="AU6">
        <v>210934</v>
      </c>
      <c r="AV6">
        <v>1</v>
      </c>
      <c r="AW6" t="s">
        <v>55</v>
      </c>
      <c r="AX6" t="s">
        <v>56</v>
      </c>
      <c r="AZ6" t="s">
        <v>57</v>
      </c>
      <c r="BA6">
        <v>59.944168002473702</v>
      </c>
      <c r="BB6" t="s">
        <v>58</v>
      </c>
    </row>
    <row r="7" spans="1:54" x14ac:dyDescent="0.35">
      <c r="A7" t="s">
        <v>63</v>
      </c>
      <c r="B7">
        <v>5</v>
      </c>
      <c r="C7">
        <v>5</v>
      </c>
      <c r="D7">
        <v>0</v>
      </c>
      <c r="E7">
        <v>1.0833333333333299</v>
      </c>
      <c r="F7">
        <v>1.1450847000014599</v>
      </c>
      <c r="P7">
        <v>0</v>
      </c>
      <c r="Q7">
        <v>5</v>
      </c>
      <c r="R7">
        <v>5</v>
      </c>
      <c r="S7">
        <v>13</v>
      </c>
      <c r="X7">
        <v>11.3489332000026</v>
      </c>
      <c r="Z7">
        <v>11.3332604000024</v>
      </c>
      <c r="AA7">
        <v>11.3489332000026</v>
      </c>
      <c r="AB7">
        <v>11.3489332000026</v>
      </c>
      <c r="AC7">
        <v>12.495517700001001</v>
      </c>
      <c r="AD7">
        <v>1.0833333333333299</v>
      </c>
      <c r="AE7">
        <v>1.1450847000014599</v>
      </c>
      <c r="AU7">
        <v>210934</v>
      </c>
      <c r="AV7">
        <v>1</v>
      </c>
      <c r="AW7" t="s">
        <v>55</v>
      </c>
      <c r="AX7" t="s">
        <v>56</v>
      </c>
      <c r="AZ7" t="s">
        <v>57</v>
      </c>
      <c r="BA7">
        <v>59.944168002473702</v>
      </c>
      <c r="BB7" t="s">
        <v>58</v>
      </c>
    </row>
    <row r="8" spans="1:54" x14ac:dyDescent="0.35">
      <c r="A8" t="s">
        <v>64</v>
      </c>
      <c r="B8">
        <v>6</v>
      </c>
      <c r="C8">
        <v>6</v>
      </c>
      <c r="D8">
        <v>0</v>
      </c>
      <c r="E8">
        <v>1.0833333333333299</v>
      </c>
      <c r="F8">
        <v>0.801890800001274</v>
      </c>
      <c r="P8">
        <v>0</v>
      </c>
      <c r="Q8">
        <v>6</v>
      </c>
      <c r="R8">
        <v>6</v>
      </c>
      <c r="S8">
        <v>2</v>
      </c>
      <c r="X8">
        <v>12.515881699997401</v>
      </c>
      <c r="Z8">
        <v>12.500334299998899</v>
      </c>
      <c r="AA8">
        <v>12.515881699997401</v>
      </c>
      <c r="AB8">
        <v>12.515881699997401</v>
      </c>
      <c r="AC8">
        <v>13.318148300000701</v>
      </c>
      <c r="AD8">
        <v>1.0833333333333299</v>
      </c>
      <c r="AE8">
        <v>0.801890800001274</v>
      </c>
      <c r="AU8">
        <v>210934</v>
      </c>
      <c r="AV8">
        <v>1</v>
      </c>
      <c r="AW8" t="s">
        <v>55</v>
      </c>
      <c r="AX8" t="s">
        <v>56</v>
      </c>
      <c r="AZ8" t="s">
        <v>57</v>
      </c>
      <c r="BA8">
        <v>59.944168002473702</v>
      </c>
      <c r="BB8" t="s">
        <v>58</v>
      </c>
    </row>
    <row r="9" spans="1:54" x14ac:dyDescent="0.35">
      <c r="A9" t="s">
        <v>65</v>
      </c>
      <c r="B9">
        <v>7</v>
      </c>
      <c r="C9">
        <v>7</v>
      </c>
      <c r="D9">
        <v>0</v>
      </c>
      <c r="E9">
        <v>1.0833333333333299</v>
      </c>
      <c r="F9">
        <v>0.87082999999984101</v>
      </c>
      <c r="P9">
        <v>0</v>
      </c>
      <c r="Q9">
        <v>7</v>
      </c>
      <c r="R9">
        <v>7</v>
      </c>
      <c r="S9">
        <v>7</v>
      </c>
      <c r="X9">
        <v>13.342507699999199</v>
      </c>
      <c r="Z9">
        <v>13.3273356999998</v>
      </c>
      <c r="AA9">
        <v>13.342507699999199</v>
      </c>
      <c r="AB9">
        <v>13.342507699999199</v>
      </c>
      <c r="AC9">
        <v>14.214309199996899</v>
      </c>
      <c r="AD9">
        <v>1.0833333333333299</v>
      </c>
      <c r="AE9">
        <v>0.87082999999984101</v>
      </c>
      <c r="AU9">
        <v>210934</v>
      </c>
      <c r="AV9">
        <v>1</v>
      </c>
      <c r="AW9" t="s">
        <v>55</v>
      </c>
      <c r="AX9" t="s">
        <v>56</v>
      </c>
      <c r="AZ9" t="s">
        <v>57</v>
      </c>
      <c r="BA9">
        <v>59.944168002473702</v>
      </c>
      <c r="BB9" t="s">
        <v>58</v>
      </c>
    </row>
    <row r="10" spans="1:54" x14ac:dyDescent="0.35">
      <c r="A10" t="s">
        <v>66</v>
      </c>
      <c r="B10">
        <v>8</v>
      </c>
      <c r="C10">
        <v>8</v>
      </c>
      <c r="D10">
        <v>0</v>
      </c>
      <c r="E10">
        <v>1.0833333333333299</v>
      </c>
      <c r="F10">
        <v>0.779650299999048</v>
      </c>
      <c r="P10">
        <v>0</v>
      </c>
      <c r="Q10">
        <v>8</v>
      </c>
      <c r="R10">
        <v>8</v>
      </c>
      <c r="S10">
        <v>6</v>
      </c>
      <c r="X10">
        <v>14.2356964999999</v>
      </c>
      <c r="Z10">
        <v>14.2201150999972</v>
      </c>
      <c r="AA10">
        <v>14.2356964999999</v>
      </c>
      <c r="AB10">
        <v>14.2356964999999</v>
      </c>
      <c r="AC10">
        <v>15.018008799997901</v>
      </c>
      <c r="AD10">
        <v>1.0833333333333299</v>
      </c>
      <c r="AE10">
        <v>0.779650299999048</v>
      </c>
      <c r="AU10">
        <v>210934</v>
      </c>
      <c r="AV10">
        <v>1</v>
      </c>
      <c r="AW10" t="s">
        <v>55</v>
      </c>
      <c r="AX10" t="s">
        <v>56</v>
      </c>
      <c r="AZ10" t="s">
        <v>57</v>
      </c>
      <c r="BA10">
        <v>59.944168002473702</v>
      </c>
      <c r="BB10" t="s">
        <v>58</v>
      </c>
    </row>
    <row r="11" spans="1:54" x14ac:dyDescent="0.35">
      <c r="A11" t="s">
        <v>67</v>
      </c>
      <c r="B11">
        <v>9</v>
      </c>
      <c r="C11">
        <v>9</v>
      </c>
      <c r="D11">
        <v>0</v>
      </c>
      <c r="E11">
        <v>1.0833333333333299</v>
      </c>
      <c r="F11">
        <v>0.85647140000219202</v>
      </c>
      <c r="P11">
        <v>0</v>
      </c>
      <c r="Q11">
        <v>9</v>
      </c>
      <c r="R11">
        <v>9</v>
      </c>
      <c r="S11">
        <v>10</v>
      </c>
      <c r="X11">
        <v>15.0391963000001</v>
      </c>
      <c r="Z11">
        <v>15.023321699998601</v>
      </c>
      <c r="AA11">
        <v>15.0391963000001</v>
      </c>
      <c r="AB11">
        <v>15.0391963000001</v>
      </c>
      <c r="AC11">
        <v>15.902184999998999</v>
      </c>
      <c r="AD11">
        <v>1.0833333333333299</v>
      </c>
      <c r="AE11">
        <v>0.85647140000219202</v>
      </c>
      <c r="AU11">
        <v>210934</v>
      </c>
      <c r="AV11">
        <v>1</v>
      </c>
      <c r="AW11" t="s">
        <v>55</v>
      </c>
      <c r="AX11" t="s">
        <v>56</v>
      </c>
      <c r="AZ11" t="s">
        <v>57</v>
      </c>
      <c r="BA11">
        <v>59.944168002473702</v>
      </c>
      <c r="BB11" t="s">
        <v>58</v>
      </c>
    </row>
    <row r="12" spans="1:54" x14ac:dyDescent="0.35">
      <c r="A12" t="s">
        <v>68</v>
      </c>
      <c r="B12">
        <v>10</v>
      </c>
      <c r="C12">
        <v>10</v>
      </c>
      <c r="D12">
        <v>0</v>
      </c>
      <c r="E12">
        <v>1.0833333333333299</v>
      </c>
      <c r="F12">
        <v>0.829038600000785</v>
      </c>
      <c r="P12">
        <v>0</v>
      </c>
      <c r="Q12">
        <v>10</v>
      </c>
      <c r="R12">
        <v>10</v>
      </c>
      <c r="S12">
        <v>0</v>
      </c>
      <c r="X12">
        <v>15.9271996000024</v>
      </c>
      <c r="Z12">
        <v>15.9094526999979</v>
      </c>
      <c r="AA12">
        <v>15.9271996000024</v>
      </c>
      <c r="AB12">
        <v>15.9271996000024</v>
      </c>
      <c r="AC12">
        <v>16.754878100000401</v>
      </c>
      <c r="AD12">
        <v>1.0833333333333299</v>
      </c>
      <c r="AE12">
        <v>0.829038600000785</v>
      </c>
      <c r="AU12">
        <v>210934</v>
      </c>
      <c r="AV12">
        <v>1</v>
      </c>
      <c r="AW12" t="s">
        <v>55</v>
      </c>
      <c r="AX12" t="s">
        <v>56</v>
      </c>
      <c r="AZ12" t="s">
        <v>57</v>
      </c>
      <c r="BA12">
        <v>59.944168002473702</v>
      </c>
      <c r="BB12" t="s">
        <v>58</v>
      </c>
    </row>
    <row r="13" spans="1:54" x14ac:dyDescent="0.35">
      <c r="A13" t="s">
        <v>69</v>
      </c>
      <c r="B13">
        <v>11</v>
      </c>
      <c r="C13">
        <v>11</v>
      </c>
      <c r="D13">
        <v>0</v>
      </c>
      <c r="E13">
        <v>1.0833333333333299</v>
      </c>
      <c r="F13">
        <v>0.852392499997222</v>
      </c>
      <c r="P13">
        <v>0</v>
      </c>
      <c r="Q13">
        <v>11</v>
      </c>
      <c r="R13">
        <v>11</v>
      </c>
      <c r="S13">
        <v>5</v>
      </c>
      <c r="X13">
        <v>16.781114700002899</v>
      </c>
      <c r="Z13">
        <v>16.760853599996999</v>
      </c>
      <c r="AA13">
        <v>16.781114700002899</v>
      </c>
      <c r="AB13">
        <v>16.781114700002899</v>
      </c>
      <c r="AC13">
        <v>17.631192100001499</v>
      </c>
      <c r="AD13">
        <v>1.0833333333333299</v>
      </c>
      <c r="AE13">
        <v>0.852392499997222</v>
      </c>
      <c r="AU13">
        <v>210934</v>
      </c>
      <c r="AV13">
        <v>1</v>
      </c>
      <c r="AW13" t="s">
        <v>55</v>
      </c>
      <c r="AX13" t="s">
        <v>56</v>
      </c>
      <c r="AZ13" t="s">
        <v>57</v>
      </c>
      <c r="BA13">
        <v>59.944168002473702</v>
      </c>
      <c r="BB13" t="s">
        <v>58</v>
      </c>
    </row>
    <row r="14" spans="1:54" x14ac:dyDescent="0.35">
      <c r="A14" t="s">
        <v>70</v>
      </c>
      <c r="B14">
        <v>12</v>
      </c>
      <c r="C14">
        <v>12</v>
      </c>
      <c r="D14">
        <v>0</v>
      </c>
      <c r="E14">
        <v>1.0833333333333299</v>
      </c>
      <c r="F14">
        <v>0.87937670000246704</v>
      </c>
      <c r="P14">
        <v>0</v>
      </c>
      <c r="Q14">
        <v>12</v>
      </c>
      <c r="R14">
        <v>12</v>
      </c>
      <c r="S14">
        <v>11</v>
      </c>
      <c r="X14">
        <v>17.653936700000401</v>
      </c>
      <c r="Z14">
        <v>17.638210799996099</v>
      </c>
      <c r="AA14">
        <v>17.653936700000401</v>
      </c>
      <c r="AB14">
        <v>17.653936700000401</v>
      </c>
      <c r="AC14">
        <v>18.535429299998199</v>
      </c>
      <c r="AD14">
        <v>1.0833333333333299</v>
      </c>
      <c r="AE14">
        <v>0.87937670000246704</v>
      </c>
      <c r="AU14">
        <v>210934</v>
      </c>
      <c r="AV14">
        <v>1</v>
      </c>
      <c r="AW14" t="s">
        <v>55</v>
      </c>
      <c r="AX14" t="s">
        <v>56</v>
      </c>
      <c r="AZ14" t="s">
        <v>57</v>
      </c>
      <c r="BA14">
        <v>59.944168002473702</v>
      </c>
      <c r="BB14" t="s">
        <v>58</v>
      </c>
    </row>
    <row r="15" spans="1:54" x14ac:dyDescent="0.35">
      <c r="A15" t="s">
        <v>71</v>
      </c>
      <c r="B15">
        <v>13</v>
      </c>
      <c r="C15">
        <v>13</v>
      </c>
      <c r="D15">
        <v>0</v>
      </c>
      <c r="E15">
        <v>1</v>
      </c>
      <c r="F15">
        <v>1.7854437999994801</v>
      </c>
      <c r="P15">
        <v>0</v>
      </c>
      <c r="Q15">
        <v>13</v>
      </c>
      <c r="R15">
        <v>13</v>
      </c>
      <c r="S15">
        <v>14</v>
      </c>
      <c r="X15">
        <v>18.5595959999991</v>
      </c>
      <c r="Z15">
        <v>18.542863199996599</v>
      </c>
      <c r="AA15">
        <v>18.5595959999991</v>
      </c>
      <c r="AB15">
        <v>18.5595959999991</v>
      </c>
      <c r="AC15">
        <v>20.347064499997899</v>
      </c>
      <c r="AD15">
        <v>1</v>
      </c>
      <c r="AE15">
        <v>1.7854437999994801</v>
      </c>
      <c r="AU15">
        <v>210934</v>
      </c>
      <c r="AV15">
        <v>1</v>
      </c>
      <c r="AW15" t="s">
        <v>55</v>
      </c>
      <c r="AX15" t="s">
        <v>56</v>
      </c>
      <c r="AZ15" t="s">
        <v>57</v>
      </c>
      <c r="BA15">
        <v>59.944168002473702</v>
      </c>
      <c r="BB15" t="s">
        <v>58</v>
      </c>
    </row>
    <row r="16" spans="1:54" x14ac:dyDescent="0.35">
      <c r="A16" t="s">
        <v>72</v>
      </c>
      <c r="B16">
        <v>14</v>
      </c>
      <c r="C16">
        <v>14</v>
      </c>
      <c r="D16">
        <v>0</v>
      </c>
      <c r="E16">
        <v>1</v>
      </c>
      <c r="F16">
        <v>0.80062690000340797</v>
      </c>
      <c r="P16">
        <v>0</v>
      </c>
      <c r="Q16">
        <v>14</v>
      </c>
      <c r="R16">
        <v>14</v>
      </c>
      <c r="S16">
        <v>4</v>
      </c>
      <c r="X16">
        <v>20.379757099995899</v>
      </c>
      <c r="Z16">
        <v>20.359766200002898</v>
      </c>
      <c r="AA16">
        <v>20.379757099995899</v>
      </c>
      <c r="AB16">
        <v>20.379757099995899</v>
      </c>
      <c r="AC16">
        <v>21.1767766999983</v>
      </c>
      <c r="AD16">
        <v>1</v>
      </c>
      <c r="AE16">
        <v>0.80062690000340797</v>
      </c>
      <c r="AU16">
        <v>210934</v>
      </c>
      <c r="AV16">
        <v>1</v>
      </c>
      <c r="AW16" t="s">
        <v>55</v>
      </c>
      <c r="AX16" t="s">
        <v>56</v>
      </c>
      <c r="AZ16" t="s">
        <v>57</v>
      </c>
      <c r="BA16">
        <v>59.944168002473702</v>
      </c>
      <c r="BB16" t="s">
        <v>58</v>
      </c>
    </row>
    <row r="17" spans="2:54" x14ac:dyDescent="0.35">
      <c r="B17">
        <v>0</v>
      </c>
      <c r="C17">
        <v>0</v>
      </c>
      <c r="D17">
        <v>0</v>
      </c>
      <c r="F17" s="5">
        <v>1</v>
      </c>
      <c r="G17" s="6" t="s">
        <v>73</v>
      </c>
      <c r="H17" s="6" t="s">
        <v>74</v>
      </c>
      <c r="I17" t="s">
        <v>75</v>
      </c>
      <c r="J17" t="s">
        <v>76</v>
      </c>
      <c r="K17" t="s">
        <v>77</v>
      </c>
      <c r="L17" t="s">
        <v>78</v>
      </c>
      <c r="M17" t="s">
        <v>78</v>
      </c>
      <c r="N17" t="s">
        <v>79</v>
      </c>
      <c r="O17" t="s">
        <v>80</v>
      </c>
      <c r="T17">
        <v>0</v>
      </c>
      <c r="U17">
        <v>0</v>
      </c>
      <c r="V17">
        <v>0</v>
      </c>
      <c r="W17">
        <v>16</v>
      </c>
      <c r="X17">
        <v>21.2178521000023</v>
      </c>
      <c r="AF17">
        <v>21.196989899995899</v>
      </c>
      <c r="AG17">
        <v>21.2178521000023</v>
      </c>
      <c r="AH17">
        <v>21.2178521000023</v>
      </c>
      <c r="AI17">
        <v>21.2178521000023</v>
      </c>
      <c r="AJ17">
        <v>2.0209099995554401E-2</v>
      </c>
      <c r="AK17">
        <v>30.5530075999995</v>
      </c>
      <c r="AL17" t="s">
        <v>74</v>
      </c>
      <c r="AM17" t="s">
        <v>75</v>
      </c>
      <c r="AN17" t="s">
        <v>76</v>
      </c>
      <c r="AO17" t="s">
        <v>77</v>
      </c>
      <c r="AP17" t="s">
        <v>78</v>
      </c>
      <c r="AQ17" t="s">
        <v>78</v>
      </c>
      <c r="AR17" t="s">
        <v>79</v>
      </c>
      <c r="AS17" t="s">
        <v>80</v>
      </c>
      <c r="AU17">
        <v>210934</v>
      </c>
      <c r="AV17">
        <v>1</v>
      </c>
      <c r="AW17" t="s">
        <v>55</v>
      </c>
      <c r="AX17" t="s">
        <v>56</v>
      </c>
      <c r="AZ17" t="s">
        <v>57</v>
      </c>
      <c r="BA17">
        <v>59.944168002473702</v>
      </c>
      <c r="BB17" t="s">
        <v>58</v>
      </c>
    </row>
    <row r="18" spans="2:54" x14ac:dyDescent="0.35">
      <c r="B18">
        <v>1</v>
      </c>
      <c r="C18">
        <v>1</v>
      </c>
      <c r="D18">
        <v>0</v>
      </c>
      <c r="F18" s="5">
        <v>1</v>
      </c>
      <c r="G18" s="6" t="s">
        <v>81</v>
      </c>
      <c r="H18" s="6" t="s">
        <v>82</v>
      </c>
      <c r="I18" t="s">
        <v>75</v>
      </c>
      <c r="J18" t="s">
        <v>76</v>
      </c>
      <c r="K18" t="s">
        <v>77</v>
      </c>
      <c r="L18" t="s">
        <v>78</v>
      </c>
      <c r="M18" t="s">
        <v>78</v>
      </c>
      <c r="N18" t="s">
        <v>83</v>
      </c>
      <c r="O18" t="s">
        <v>80</v>
      </c>
      <c r="T18">
        <v>0</v>
      </c>
      <c r="U18">
        <v>1</v>
      </c>
      <c r="V18">
        <v>1</v>
      </c>
      <c r="W18">
        <v>19</v>
      </c>
      <c r="X18">
        <v>30.576893799996402</v>
      </c>
      <c r="AF18">
        <v>30.558863500002101</v>
      </c>
      <c r="AG18">
        <v>30.576893799996402</v>
      </c>
      <c r="AH18">
        <v>30.576893799996402</v>
      </c>
      <c r="AI18">
        <v>30.576893799996402</v>
      </c>
      <c r="AJ18">
        <v>5.6755999976303402E-3</v>
      </c>
      <c r="AK18">
        <v>34.1860108999972</v>
      </c>
      <c r="AL18" t="s">
        <v>82</v>
      </c>
      <c r="AM18" t="s">
        <v>75</v>
      </c>
      <c r="AN18" t="s">
        <v>76</v>
      </c>
      <c r="AO18" t="s">
        <v>77</v>
      </c>
      <c r="AP18" t="s">
        <v>78</v>
      </c>
      <c r="AQ18" t="s">
        <v>78</v>
      </c>
      <c r="AR18" t="s">
        <v>83</v>
      </c>
      <c r="AS18" t="s">
        <v>80</v>
      </c>
      <c r="AU18">
        <v>210934</v>
      </c>
      <c r="AV18">
        <v>1</v>
      </c>
      <c r="AW18" t="s">
        <v>55</v>
      </c>
      <c r="AX18" t="s">
        <v>56</v>
      </c>
      <c r="AZ18" t="s">
        <v>57</v>
      </c>
      <c r="BA18">
        <v>59.944168002473702</v>
      </c>
      <c r="BB18" t="s">
        <v>58</v>
      </c>
    </row>
    <row r="19" spans="2:54" x14ac:dyDescent="0.35">
      <c r="B19">
        <v>2</v>
      </c>
      <c r="C19">
        <v>2</v>
      </c>
      <c r="D19">
        <v>0</v>
      </c>
      <c r="F19" s="2">
        <v>0</v>
      </c>
      <c r="G19" t="s">
        <v>84</v>
      </c>
      <c r="H19" t="s">
        <v>85</v>
      </c>
      <c r="I19" t="s">
        <v>86</v>
      </c>
      <c r="J19" t="s">
        <v>76</v>
      </c>
      <c r="K19" t="s">
        <v>77</v>
      </c>
      <c r="L19" t="s">
        <v>78</v>
      </c>
      <c r="M19" t="s">
        <v>78</v>
      </c>
      <c r="N19" t="s">
        <v>87</v>
      </c>
      <c r="O19" t="s">
        <v>80</v>
      </c>
      <c r="T19">
        <v>0</v>
      </c>
      <c r="U19">
        <v>2</v>
      </c>
      <c r="V19">
        <v>2</v>
      </c>
      <c r="W19">
        <v>13</v>
      </c>
      <c r="X19">
        <v>34.212376399998902</v>
      </c>
      <c r="AF19">
        <v>34.191532099997801</v>
      </c>
      <c r="AG19">
        <v>34.212376399998902</v>
      </c>
      <c r="AH19">
        <v>34.212376399998902</v>
      </c>
      <c r="AI19">
        <v>34.212376399998902</v>
      </c>
      <c r="AJ19">
        <v>5.3469999984372399E-3</v>
      </c>
      <c r="AK19">
        <v>36.888724899996298</v>
      </c>
      <c r="AL19" t="s">
        <v>85</v>
      </c>
      <c r="AM19" t="s">
        <v>86</v>
      </c>
      <c r="AN19" t="s">
        <v>76</v>
      </c>
      <c r="AO19" t="s">
        <v>77</v>
      </c>
      <c r="AP19" t="s">
        <v>78</v>
      </c>
      <c r="AQ19" t="s">
        <v>78</v>
      </c>
      <c r="AR19" t="s">
        <v>87</v>
      </c>
      <c r="AS19" t="s">
        <v>80</v>
      </c>
      <c r="AU19">
        <v>210934</v>
      </c>
      <c r="AV19">
        <v>1</v>
      </c>
      <c r="AW19" t="s">
        <v>55</v>
      </c>
      <c r="AX19" t="s">
        <v>56</v>
      </c>
      <c r="AZ19" t="s">
        <v>57</v>
      </c>
      <c r="BA19">
        <v>59.944168002473702</v>
      </c>
      <c r="BB19" t="s">
        <v>58</v>
      </c>
    </row>
    <row r="20" spans="2:54" x14ac:dyDescent="0.35">
      <c r="B20">
        <v>3</v>
      </c>
      <c r="C20">
        <v>3</v>
      </c>
      <c r="D20">
        <v>0</v>
      </c>
      <c r="F20" s="2">
        <v>1</v>
      </c>
      <c r="G20" t="s">
        <v>190</v>
      </c>
      <c r="H20" t="s">
        <v>61</v>
      </c>
      <c r="I20" t="s">
        <v>89</v>
      </c>
      <c r="J20" t="s">
        <v>90</v>
      </c>
      <c r="K20" t="s">
        <v>77</v>
      </c>
      <c r="L20" t="s">
        <v>78</v>
      </c>
      <c r="M20" t="s">
        <v>78</v>
      </c>
      <c r="N20" t="s">
        <v>91</v>
      </c>
      <c r="O20" t="s">
        <v>80</v>
      </c>
      <c r="T20">
        <v>0</v>
      </c>
      <c r="U20">
        <v>3</v>
      </c>
      <c r="V20">
        <v>3</v>
      </c>
      <c r="W20">
        <v>4</v>
      </c>
      <c r="X20">
        <v>36.911753200001797</v>
      </c>
      <c r="AF20">
        <v>36.893889599996299</v>
      </c>
      <c r="AG20">
        <v>36.911753200001797</v>
      </c>
      <c r="AH20">
        <v>36.911753200001797</v>
      </c>
      <c r="AI20">
        <v>36.911753200001797</v>
      </c>
      <c r="AJ20">
        <v>4.9827999973786003E-3</v>
      </c>
      <c r="AK20">
        <v>50.573195600001696</v>
      </c>
      <c r="AL20" t="s">
        <v>88</v>
      </c>
      <c r="AM20" t="s">
        <v>89</v>
      </c>
      <c r="AN20" t="s">
        <v>90</v>
      </c>
      <c r="AO20" t="s">
        <v>77</v>
      </c>
      <c r="AP20" t="s">
        <v>78</v>
      </c>
      <c r="AQ20" t="s">
        <v>78</v>
      </c>
      <c r="AR20" t="s">
        <v>91</v>
      </c>
      <c r="AS20" t="s">
        <v>80</v>
      </c>
      <c r="AT20">
        <v>46.920502599998102</v>
      </c>
      <c r="AU20">
        <v>210934</v>
      </c>
      <c r="AV20">
        <v>1</v>
      </c>
      <c r="AW20" t="s">
        <v>55</v>
      </c>
      <c r="AX20" t="s">
        <v>56</v>
      </c>
      <c r="AZ20" t="s">
        <v>57</v>
      </c>
      <c r="BA20">
        <v>59.944168002473702</v>
      </c>
      <c r="BB20" t="s">
        <v>58</v>
      </c>
    </row>
    <row r="21" spans="2:54" x14ac:dyDescent="0.35">
      <c r="B21">
        <v>4</v>
      </c>
      <c r="C21">
        <v>4</v>
      </c>
      <c r="D21">
        <v>0</v>
      </c>
      <c r="F21" s="2">
        <v>1</v>
      </c>
      <c r="G21" t="s">
        <v>92</v>
      </c>
      <c r="H21" t="s">
        <v>69</v>
      </c>
      <c r="I21" t="s">
        <v>89</v>
      </c>
      <c r="J21" t="s">
        <v>90</v>
      </c>
      <c r="K21" t="s">
        <v>77</v>
      </c>
      <c r="L21" t="s">
        <v>78</v>
      </c>
      <c r="M21" t="s">
        <v>78</v>
      </c>
      <c r="N21" t="s">
        <v>93</v>
      </c>
      <c r="O21" t="s">
        <v>80</v>
      </c>
      <c r="T21">
        <v>0</v>
      </c>
      <c r="U21">
        <v>4</v>
      </c>
      <c r="V21">
        <v>4</v>
      </c>
      <c r="W21">
        <v>0</v>
      </c>
      <c r="X21">
        <v>50.5937527999994</v>
      </c>
      <c r="AF21">
        <v>50.5779117999991</v>
      </c>
      <c r="AG21">
        <v>50.5937527999994</v>
      </c>
      <c r="AH21">
        <v>50.5937527999994</v>
      </c>
      <c r="AI21">
        <v>50.5937527999994</v>
      </c>
      <c r="AJ21">
        <v>4.5377999995252997E-3</v>
      </c>
      <c r="AK21">
        <v>54.373068799999601</v>
      </c>
      <c r="AL21" t="s">
        <v>69</v>
      </c>
      <c r="AM21" t="s">
        <v>89</v>
      </c>
      <c r="AN21" t="s">
        <v>90</v>
      </c>
      <c r="AO21" t="s">
        <v>77</v>
      </c>
      <c r="AP21" t="s">
        <v>78</v>
      </c>
      <c r="AQ21" t="s">
        <v>78</v>
      </c>
      <c r="AR21" t="s">
        <v>93</v>
      </c>
      <c r="AS21" t="s">
        <v>80</v>
      </c>
      <c r="AU21">
        <v>210934</v>
      </c>
      <c r="AV21">
        <v>1</v>
      </c>
      <c r="AW21" t="s">
        <v>55</v>
      </c>
      <c r="AX21" t="s">
        <v>56</v>
      </c>
      <c r="AZ21" t="s">
        <v>57</v>
      </c>
      <c r="BA21">
        <v>59.944168002473702</v>
      </c>
      <c r="BB21" t="s">
        <v>58</v>
      </c>
    </row>
    <row r="22" spans="2:54" x14ac:dyDescent="0.35">
      <c r="B22">
        <v>5</v>
      </c>
      <c r="C22">
        <v>5</v>
      </c>
      <c r="D22">
        <v>0</v>
      </c>
      <c r="F22" s="2">
        <v>1</v>
      </c>
      <c r="G22" t="s">
        <v>94</v>
      </c>
      <c r="H22" t="s">
        <v>59</v>
      </c>
      <c r="I22" t="s">
        <v>89</v>
      </c>
      <c r="J22" t="s">
        <v>90</v>
      </c>
      <c r="K22" t="s">
        <v>77</v>
      </c>
      <c r="L22" t="s">
        <v>78</v>
      </c>
      <c r="M22" t="s">
        <v>78</v>
      </c>
      <c r="N22" t="s">
        <v>95</v>
      </c>
      <c r="O22" t="s">
        <v>80</v>
      </c>
      <c r="T22">
        <v>0</v>
      </c>
      <c r="U22">
        <v>5</v>
      </c>
      <c r="V22">
        <v>5</v>
      </c>
      <c r="W22">
        <v>3</v>
      </c>
      <c r="X22">
        <v>54.397109400000701</v>
      </c>
      <c r="AF22">
        <v>54.377819100001901</v>
      </c>
      <c r="AG22">
        <v>54.397109400000701</v>
      </c>
      <c r="AH22">
        <v>54.397109400000701</v>
      </c>
      <c r="AI22">
        <v>54.397109400000701</v>
      </c>
      <c r="AJ22">
        <v>4.5604999977513199E-3</v>
      </c>
      <c r="AK22">
        <v>62.6547162999995</v>
      </c>
      <c r="AL22" t="s">
        <v>59</v>
      </c>
      <c r="AM22" t="s">
        <v>89</v>
      </c>
      <c r="AN22" t="s">
        <v>90</v>
      </c>
      <c r="AO22" t="s">
        <v>77</v>
      </c>
      <c r="AP22" t="s">
        <v>78</v>
      </c>
      <c r="AQ22" t="s">
        <v>78</v>
      </c>
      <c r="AR22" t="s">
        <v>95</v>
      </c>
      <c r="AS22" t="s">
        <v>80</v>
      </c>
      <c r="AU22">
        <v>210934</v>
      </c>
      <c r="AV22">
        <v>1</v>
      </c>
      <c r="AW22" t="s">
        <v>55</v>
      </c>
      <c r="AX22" t="s">
        <v>56</v>
      </c>
      <c r="AZ22" t="s">
        <v>57</v>
      </c>
      <c r="BA22">
        <v>59.944168002473702</v>
      </c>
      <c r="BB22" t="s">
        <v>58</v>
      </c>
    </row>
    <row r="23" spans="2:54" x14ac:dyDescent="0.35">
      <c r="B23">
        <v>6</v>
      </c>
      <c r="C23">
        <v>6</v>
      </c>
      <c r="D23">
        <v>0</v>
      </c>
      <c r="F23" s="2">
        <v>1</v>
      </c>
      <c r="G23" t="s">
        <v>96</v>
      </c>
      <c r="H23" t="s">
        <v>72</v>
      </c>
      <c r="I23" t="s">
        <v>89</v>
      </c>
      <c r="J23" t="s">
        <v>90</v>
      </c>
      <c r="K23" t="s">
        <v>77</v>
      </c>
      <c r="L23" t="s">
        <v>78</v>
      </c>
      <c r="M23" t="s">
        <v>78</v>
      </c>
      <c r="N23" t="s">
        <v>97</v>
      </c>
      <c r="O23" t="s">
        <v>80</v>
      </c>
      <c r="T23">
        <v>0</v>
      </c>
      <c r="U23">
        <v>6</v>
      </c>
      <c r="V23">
        <v>6</v>
      </c>
      <c r="W23">
        <v>10</v>
      </c>
      <c r="X23">
        <v>62.677574100001898</v>
      </c>
      <c r="AF23">
        <v>62.659638799996102</v>
      </c>
      <c r="AG23">
        <v>62.677574100001898</v>
      </c>
      <c r="AH23">
        <v>62.677574100001898</v>
      </c>
      <c r="AI23">
        <v>62.677574100001898</v>
      </c>
      <c r="AJ23">
        <v>4.7351000030175696E-3</v>
      </c>
      <c r="AK23">
        <v>76.043878600001307</v>
      </c>
      <c r="AL23" t="s">
        <v>72</v>
      </c>
      <c r="AM23" t="s">
        <v>89</v>
      </c>
      <c r="AN23" t="s">
        <v>90</v>
      </c>
      <c r="AO23" t="s">
        <v>77</v>
      </c>
      <c r="AP23" t="s">
        <v>78</v>
      </c>
      <c r="AQ23" t="s">
        <v>78</v>
      </c>
      <c r="AR23" t="s">
        <v>97</v>
      </c>
      <c r="AS23" t="s">
        <v>80</v>
      </c>
      <c r="AT23">
        <v>72.691450300000696</v>
      </c>
      <c r="AU23">
        <v>210934</v>
      </c>
      <c r="AV23">
        <v>1</v>
      </c>
      <c r="AW23" t="s">
        <v>55</v>
      </c>
      <c r="AX23" t="s">
        <v>56</v>
      </c>
      <c r="AZ23" t="s">
        <v>57</v>
      </c>
      <c r="BA23">
        <v>59.944168002473702</v>
      </c>
      <c r="BB23" t="s">
        <v>58</v>
      </c>
    </row>
    <row r="24" spans="2:54" x14ac:dyDescent="0.35">
      <c r="B24">
        <v>7</v>
      </c>
      <c r="C24">
        <v>7</v>
      </c>
      <c r="D24">
        <v>0</v>
      </c>
      <c r="F24" s="5">
        <v>0</v>
      </c>
      <c r="G24" s="6" t="s">
        <v>98</v>
      </c>
      <c r="H24" s="6" t="s">
        <v>99</v>
      </c>
      <c r="I24" t="s">
        <v>89</v>
      </c>
      <c r="J24" t="s">
        <v>90</v>
      </c>
      <c r="K24" t="s">
        <v>77</v>
      </c>
      <c r="L24" t="s">
        <v>78</v>
      </c>
      <c r="M24" t="s">
        <v>78</v>
      </c>
      <c r="N24" t="s">
        <v>100</v>
      </c>
      <c r="O24" t="s">
        <v>80</v>
      </c>
      <c r="T24">
        <v>0</v>
      </c>
      <c r="U24">
        <v>7</v>
      </c>
      <c r="V24">
        <v>7</v>
      </c>
      <c r="W24">
        <v>15</v>
      </c>
      <c r="X24">
        <v>76.065017699998805</v>
      </c>
      <c r="AF24">
        <v>76.048347199997806</v>
      </c>
      <c r="AG24">
        <v>76.065017699998805</v>
      </c>
      <c r="AH24">
        <v>76.065017699998805</v>
      </c>
      <c r="AI24">
        <v>76.065017699998805</v>
      </c>
      <c r="AJ24">
        <v>4.2892999990726804E-3</v>
      </c>
      <c r="AK24">
        <v>82.077339999996099</v>
      </c>
      <c r="AL24" t="s">
        <v>99</v>
      </c>
      <c r="AM24" t="s">
        <v>89</v>
      </c>
      <c r="AN24" t="s">
        <v>90</v>
      </c>
      <c r="AO24" t="s">
        <v>77</v>
      </c>
      <c r="AP24" t="s">
        <v>78</v>
      </c>
      <c r="AQ24" t="s">
        <v>78</v>
      </c>
      <c r="AR24" t="s">
        <v>100</v>
      </c>
      <c r="AS24" t="s">
        <v>80</v>
      </c>
      <c r="AU24">
        <v>210934</v>
      </c>
      <c r="AV24">
        <v>1</v>
      </c>
      <c r="AW24" t="s">
        <v>55</v>
      </c>
      <c r="AX24" t="s">
        <v>56</v>
      </c>
      <c r="AZ24" t="s">
        <v>57</v>
      </c>
      <c r="BA24">
        <v>59.944168002473702</v>
      </c>
      <c r="BB24" t="s">
        <v>58</v>
      </c>
    </row>
    <row r="25" spans="2:54" x14ac:dyDescent="0.35">
      <c r="B25">
        <v>8</v>
      </c>
      <c r="C25">
        <v>8</v>
      </c>
      <c r="D25">
        <v>0</v>
      </c>
      <c r="F25" s="2">
        <v>1</v>
      </c>
      <c r="G25" t="s">
        <v>101</v>
      </c>
      <c r="H25" t="s">
        <v>63</v>
      </c>
      <c r="I25" t="s">
        <v>89</v>
      </c>
      <c r="J25" t="s">
        <v>90</v>
      </c>
      <c r="K25" t="s">
        <v>78</v>
      </c>
      <c r="L25" t="s">
        <v>78</v>
      </c>
      <c r="M25" t="s">
        <v>77</v>
      </c>
      <c r="N25" t="s">
        <v>102</v>
      </c>
      <c r="O25" t="s">
        <v>80</v>
      </c>
      <c r="T25">
        <v>0</v>
      </c>
      <c r="U25">
        <v>8</v>
      </c>
      <c r="V25">
        <v>8</v>
      </c>
      <c r="W25">
        <v>8</v>
      </c>
      <c r="X25">
        <v>82.100226299997303</v>
      </c>
      <c r="AF25">
        <v>82.084291300001496</v>
      </c>
      <c r="AG25">
        <v>82.100226299997303</v>
      </c>
      <c r="AH25">
        <v>82.100226299997303</v>
      </c>
      <c r="AI25">
        <v>82.100226299997303</v>
      </c>
      <c r="AJ25">
        <v>6.7618999964906799E-3</v>
      </c>
      <c r="AK25">
        <v>84.910636000000494</v>
      </c>
      <c r="AL25" t="s">
        <v>63</v>
      </c>
      <c r="AM25" t="s">
        <v>89</v>
      </c>
      <c r="AN25" t="s">
        <v>90</v>
      </c>
      <c r="AO25" t="s">
        <v>78</v>
      </c>
      <c r="AP25" t="s">
        <v>78</v>
      </c>
      <c r="AQ25" t="s">
        <v>77</v>
      </c>
      <c r="AR25" t="s">
        <v>102</v>
      </c>
      <c r="AS25" t="s">
        <v>80</v>
      </c>
      <c r="AU25">
        <v>210934</v>
      </c>
      <c r="AV25">
        <v>1</v>
      </c>
      <c r="AW25" t="s">
        <v>55</v>
      </c>
      <c r="AX25" t="s">
        <v>56</v>
      </c>
      <c r="AZ25" t="s">
        <v>57</v>
      </c>
      <c r="BA25">
        <v>59.944168002473702</v>
      </c>
      <c r="BB25" t="s">
        <v>58</v>
      </c>
    </row>
    <row r="26" spans="2:54" x14ac:dyDescent="0.35">
      <c r="B26">
        <v>9</v>
      </c>
      <c r="C26">
        <v>9</v>
      </c>
      <c r="D26">
        <v>0</v>
      </c>
      <c r="F26" s="2">
        <v>0</v>
      </c>
      <c r="G26" t="s">
        <v>103</v>
      </c>
      <c r="H26" t="s">
        <v>104</v>
      </c>
      <c r="I26" t="s">
        <v>89</v>
      </c>
      <c r="J26" t="s">
        <v>90</v>
      </c>
      <c r="K26" t="s">
        <v>77</v>
      </c>
      <c r="L26" t="s">
        <v>78</v>
      </c>
      <c r="M26" t="s">
        <v>78</v>
      </c>
      <c r="N26" t="s">
        <v>105</v>
      </c>
      <c r="O26" t="s">
        <v>80</v>
      </c>
      <c r="T26">
        <v>0</v>
      </c>
      <c r="U26">
        <v>9</v>
      </c>
      <c r="V26">
        <v>9</v>
      </c>
      <c r="W26">
        <v>12</v>
      </c>
      <c r="X26">
        <v>84.932458499999399</v>
      </c>
      <c r="AF26">
        <v>84.914848599997597</v>
      </c>
      <c r="AG26">
        <v>84.932458499999399</v>
      </c>
      <c r="AH26">
        <v>84.932458499999399</v>
      </c>
      <c r="AI26">
        <v>84.932458499999399</v>
      </c>
      <c r="AJ26">
        <v>4.0284999995492399E-3</v>
      </c>
      <c r="AK26">
        <v>87.692454299998602</v>
      </c>
      <c r="AL26" t="s">
        <v>104</v>
      </c>
      <c r="AM26" t="s">
        <v>89</v>
      </c>
      <c r="AN26" t="s">
        <v>90</v>
      </c>
      <c r="AO26" t="s">
        <v>77</v>
      </c>
      <c r="AP26" t="s">
        <v>78</v>
      </c>
      <c r="AQ26" t="s">
        <v>78</v>
      </c>
      <c r="AR26" t="s">
        <v>105</v>
      </c>
      <c r="AS26" t="s">
        <v>80</v>
      </c>
      <c r="AU26">
        <v>210934</v>
      </c>
      <c r="AV26">
        <v>1</v>
      </c>
      <c r="AW26" t="s">
        <v>55</v>
      </c>
      <c r="AX26" t="s">
        <v>56</v>
      </c>
      <c r="AZ26" t="s">
        <v>57</v>
      </c>
      <c r="BA26">
        <v>59.944168002473702</v>
      </c>
      <c r="BB26" t="s">
        <v>58</v>
      </c>
    </row>
    <row r="27" spans="2:54" x14ac:dyDescent="0.35">
      <c r="B27">
        <v>10</v>
      </c>
      <c r="C27">
        <v>10</v>
      </c>
      <c r="D27">
        <v>0</v>
      </c>
      <c r="F27" s="2">
        <v>1</v>
      </c>
      <c r="G27" t="s">
        <v>106</v>
      </c>
      <c r="H27" t="s">
        <v>107</v>
      </c>
      <c r="I27" t="s">
        <v>89</v>
      </c>
      <c r="J27" t="s">
        <v>90</v>
      </c>
      <c r="K27" t="s">
        <v>77</v>
      </c>
      <c r="L27" t="s">
        <v>78</v>
      </c>
      <c r="M27" t="s">
        <v>78</v>
      </c>
      <c r="N27" t="s">
        <v>108</v>
      </c>
      <c r="O27" t="s">
        <v>80</v>
      </c>
      <c r="T27">
        <v>0</v>
      </c>
      <c r="U27">
        <v>10</v>
      </c>
      <c r="V27">
        <v>10</v>
      </c>
      <c r="W27">
        <v>5</v>
      </c>
      <c r="X27">
        <v>87.7131799999988</v>
      </c>
      <c r="AF27">
        <v>87.697338199999606</v>
      </c>
      <c r="AG27">
        <v>87.7131799999988</v>
      </c>
      <c r="AH27">
        <v>87.7131799999988</v>
      </c>
      <c r="AI27">
        <v>87.7131799999988</v>
      </c>
      <c r="AJ27">
        <v>4.7136000066529899E-3</v>
      </c>
      <c r="AK27">
        <v>89.675774999995994</v>
      </c>
      <c r="AL27" t="s">
        <v>107</v>
      </c>
      <c r="AM27" t="s">
        <v>89</v>
      </c>
      <c r="AN27" t="s">
        <v>90</v>
      </c>
      <c r="AO27" t="s">
        <v>77</v>
      </c>
      <c r="AP27" t="s">
        <v>78</v>
      </c>
      <c r="AQ27" t="s">
        <v>78</v>
      </c>
      <c r="AR27" t="s">
        <v>108</v>
      </c>
      <c r="AS27" t="s">
        <v>80</v>
      </c>
      <c r="AU27">
        <v>210934</v>
      </c>
      <c r="AV27">
        <v>1</v>
      </c>
      <c r="AW27" t="s">
        <v>55</v>
      </c>
      <c r="AX27" t="s">
        <v>56</v>
      </c>
      <c r="AZ27" t="s">
        <v>57</v>
      </c>
      <c r="BA27">
        <v>59.944168002473702</v>
      </c>
      <c r="BB27" t="s">
        <v>58</v>
      </c>
    </row>
    <row r="28" spans="2:54" x14ac:dyDescent="0.35">
      <c r="B28">
        <v>11</v>
      </c>
      <c r="C28">
        <v>11</v>
      </c>
      <c r="D28">
        <v>0</v>
      </c>
      <c r="F28" s="2">
        <v>1</v>
      </c>
      <c r="G28" t="s">
        <v>109</v>
      </c>
      <c r="H28" t="s">
        <v>70</v>
      </c>
      <c r="I28" t="s">
        <v>89</v>
      </c>
      <c r="J28" t="s">
        <v>90</v>
      </c>
      <c r="K28" t="s">
        <v>77</v>
      </c>
      <c r="L28" t="s">
        <v>78</v>
      </c>
      <c r="M28" t="s">
        <v>78</v>
      </c>
      <c r="N28" t="s">
        <v>110</v>
      </c>
      <c r="O28" t="s">
        <v>80</v>
      </c>
      <c r="T28">
        <v>0</v>
      </c>
      <c r="U28">
        <v>11</v>
      </c>
      <c r="V28">
        <v>11</v>
      </c>
      <c r="W28">
        <v>6</v>
      </c>
      <c r="X28">
        <v>89.697817599997506</v>
      </c>
      <c r="AF28">
        <v>89.680774699998395</v>
      </c>
      <c r="AG28">
        <v>89.697817599997506</v>
      </c>
      <c r="AH28">
        <v>89.697817599997506</v>
      </c>
      <c r="AI28">
        <v>89.697817599997506</v>
      </c>
      <c r="AJ28">
        <v>4.8248999955831E-3</v>
      </c>
      <c r="AK28">
        <v>93.942647999996495</v>
      </c>
      <c r="AL28" t="s">
        <v>70</v>
      </c>
      <c r="AM28" t="s">
        <v>89</v>
      </c>
      <c r="AN28" t="s">
        <v>90</v>
      </c>
      <c r="AO28" t="s">
        <v>77</v>
      </c>
      <c r="AP28" t="s">
        <v>78</v>
      </c>
      <c r="AQ28" t="s">
        <v>78</v>
      </c>
      <c r="AR28" t="s">
        <v>110</v>
      </c>
      <c r="AS28" t="s">
        <v>80</v>
      </c>
      <c r="AU28">
        <v>210934</v>
      </c>
      <c r="AV28">
        <v>1</v>
      </c>
      <c r="AW28" t="s">
        <v>55</v>
      </c>
      <c r="AX28" t="s">
        <v>56</v>
      </c>
      <c r="AZ28" t="s">
        <v>57</v>
      </c>
      <c r="BA28">
        <v>59.944168002473702</v>
      </c>
      <c r="BB28" t="s">
        <v>58</v>
      </c>
    </row>
    <row r="29" spans="2:54" x14ac:dyDescent="0.35">
      <c r="B29">
        <v>12</v>
      </c>
      <c r="C29">
        <v>12</v>
      </c>
      <c r="D29">
        <v>0</v>
      </c>
      <c r="F29" s="2">
        <v>0</v>
      </c>
      <c r="G29" t="s">
        <v>111</v>
      </c>
      <c r="H29" t="s">
        <v>61</v>
      </c>
      <c r="I29" t="s">
        <v>89</v>
      </c>
      <c r="J29" t="s">
        <v>90</v>
      </c>
      <c r="K29" t="s">
        <v>77</v>
      </c>
      <c r="L29" t="s">
        <v>78</v>
      </c>
      <c r="M29" t="s">
        <v>78</v>
      </c>
      <c r="N29" t="s">
        <v>112</v>
      </c>
      <c r="O29" t="s">
        <v>80</v>
      </c>
      <c r="T29">
        <v>0</v>
      </c>
      <c r="U29">
        <v>12</v>
      </c>
      <c r="V29">
        <v>12</v>
      </c>
      <c r="W29">
        <v>9</v>
      </c>
      <c r="X29">
        <v>93.964716100002903</v>
      </c>
      <c r="AF29">
        <v>93.947355700001907</v>
      </c>
      <c r="AG29">
        <v>93.964716100002903</v>
      </c>
      <c r="AH29">
        <v>93.964716100002903</v>
      </c>
      <c r="AI29">
        <v>93.964716100002903</v>
      </c>
      <c r="AJ29">
        <v>4.4619000036618603E-3</v>
      </c>
      <c r="AK29">
        <v>102.392575999998</v>
      </c>
      <c r="AL29" t="s">
        <v>61</v>
      </c>
      <c r="AM29" t="s">
        <v>89</v>
      </c>
      <c r="AN29" t="s">
        <v>90</v>
      </c>
      <c r="AO29" t="s">
        <v>77</v>
      </c>
      <c r="AP29" t="s">
        <v>78</v>
      </c>
      <c r="AQ29" t="s">
        <v>78</v>
      </c>
      <c r="AR29" t="s">
        <v>112</v>
      </c>
      <c r="AS29" t="s">
        <v>80</v>
      </c>
      <c r="AU29">
        <v>210934</v>
      </c>
      <c r="AV29">
        <v>1</v>
      </c>
      <c r="AW29" t="s">
        <v>55</v>
      </c>
      <c r="AX29" t="s">
        <v>56</v>
      </c>
      <c r="AZ29" t="s">
        <v>57</v>
      </c>
      <c r="BA29">
        <v>59.944168002473702</v>
      </c>
      <c r="BB29" t="s">
        <v>58</v>
      </c>
    </row>
    <row r="30" spans="2:54" x14ac:dyDescent="0.35">
      <c r="B30">
        <v>13</v>
      </c>
      <c r="C30">
        <v>13</v>
      </c>
      <c r="D30">
        <v>0</v>
      </c>
      <c r="F30" s="2">
        <v>0</v>
      </c>
      <c r="G30" t="s">
        <v>113</v>
      </c>
      <c r="H30" t="s">
        <v>114</v>
      </c>
      <c r="I30" t="s">
        <v>115</v>
      </c>
      <c r="J30" t="s">
        <v>116</v>
      </c>
      <c r="K30" t="s">
        <v>77</v>
      </c>
      <c r="L30" t="s">
        <v>78</v>
      </c>
      <c r="M30" t="s">
        <v>78</v>
      </c>
      <c r="N30" t="s">
        <v>117</v>
      </c>
      <c r="O30" t="s">
        <v>80</v>
      </c>
      <c r="T30">
        <v>0</v>
      </c>
      <c r="U30">
        <v>13</v>
      </c>
      <c r="V30">
        <v>13</v>
      </c>
      <c r="W30">
        <v>1</v>
      </c>
      <c r="X30">
        <v>102.41362649999699</v>
      </c>
      <c r="AF30">
        <v>102.39707970000001</v>
      </c>
      <c r="AG30">
        <v>102.41362649999699</v>
      </c>
      <c r="AH30">
        <v>102.41362649999699</v>
      </c>
      <c r="AI30">
        <v>102.41362649999699</v>
      </c>
      <c r="AJ30">
        <v>4.3148999975528499E-3</v>
      </c>
      <c r="AK30">
        <v>110.444110600001</v>
      </c>
      <c r="AL30" t="s">
        <v>114</v>
      </c>
      <c r="AM30" t="s">
        <v>115</v>
      </c>
      <c r="AN30" t="s">
        <v>116</v>
      </c>
      <c r="AO30" t="s">
        <v>77</v>
      </c>
      <c r="AP30" t="s">
        <v>78</v>
      </c>
      <c r="AQ30" t="s">
        <v>78</v>
      </c>
      <c r="AR30" t="s">
        <v>117</v>
      </c>
      <c r="AS30" t="s">
        <v>80</v>
      </c>
      <c r="AU30">
        <v>210934</v>
      </c>
      <c r="AV30">
        <v>1</v>
      </c>
      <c r="AW30" t="s">
        <v>55</v>
      </c>
      <c r="AX30" t="s">
        <v>56</v>
      </c>
      <c r="AZ30" t="s">
        <v>57</v>
      </c>
      <c r="BA30">
        <v>59.944168002473702</v>
      </c>
      <c r="BB30" t="s">
        <v>58</v>
      </c>
    </row>
    <row r="31" spans="2:54" x14ac:dyDescent="0.35">
      <c r="B31">
        <v>14</v>
      </c>
      <c r="C31">
        <v>14</v>
      </c>
      <c r="D31">
        <v>0</v>
      </c>
      <c r="F31" s="2">
        <v>0</v>
      </c>
      <c r="G31" t="s">
        <v>118</v>
      </c>
      <c r="H31" t="s">
        <v>119</v>
      </c>
      <c r="I31" t="s">
        <v>120</v>
      </c>
      <c r="J31" t="s">
        <v>121</v>
      </c>
      <c r="K31" t="s">
        <v>77</v>
      </c>
      <c r="L31" t="s">
        <v>78</v>
      </c>
      <c r="M31" t="s">
        <v>78</v>
      </c>
      <c r="N31" t="s">
        <v>122</v>
      </c>
      <c r="O31" t="s">
        <v>80</v>
      </c>
      <c r="T31">
        <v>0</v>
      </c>
      <c r="U31">
        <v>14</v>
      </c>
      <c r="V31">
        <v>14</v>
      </c>
      <c r="W31">
        <v>14</v>
      </c>
      <c r="X31">
        <v>110.466847700001</v>
      </c>
      <c r="AF31">
        <v>110.448445399997</v>
      </c>
      <c r="AG31">
        <v>110.466847700001</v>
      </c>
      <c r="AH31">
        <v>110.466847700001</v>
      </c>
      <c r="AI31">
        <v>110.466847700001</v>
      </c>
      <c r="AJ31">
        <v>4.1405000010854504E-3</v>
      </c>
      <c r="AK31">
        <v>118.025782099997</v>
      </c>
      <c r="AL31" t="s">
        <v>119</v>
      </c>
      <c r="AM31" t="s">
        <v>120</v>
      </c>
      <c r="AN31" t="s">
        <v>121</v>
      </c>
      <c r="AO31" t="s">
        <v>77</v>
      </c>
      <c r="AP31" t="s">
        <v>78</v>
      </c>
      <c r="AQ31" t="s">
        <v>78</v>
      </c>
      <c r="AR31" t="s">
        <v>122</v>
      </c>
      <c r="AS31" t="s">
        <v>80</v>
      </c>
      <c r="AU31">
        <v>210934</v>
      </c>
      <c r="AV31">
        <v>1</v>
      </c>
      <c r="AW31" t="s">
        <v>55</v>
      </c>
      <c r="AX31" t="s">
        <v>56</v>
      </c>
      <c r="AZ31" t="s">
        <v>57</v>
      </c>
      <c r="BA31">
        <v>59.944168002473702</v>
      </c>
      <c r="BB31" t="s">
        <v>58</v>
      </c>
    </row>
    <row r="32" spans="2:54" x14ac:dyDescent="0.35">
      <c r="B32">
        <v>15</v>
      </c>
      <c r="C32">
        <v>15</v>
      </c>
      <c r="D32">
        <v>0</v>
      </c>
      <c r="F32" s="2">
        <v>1</v>
      </c>
      <c r="G32" t="s">
        <v>123</v>
      </c>
      <c r="H32" t="s">
        <v>60</v>
      </c>
      <c r="I32" t="s">
        <v>120</v>
      </c>
      <c r="J32" t="s">
        <v>121</v>
      </c>
      <c r="K32" t="s">
        <v>77</v>
      </c>
      <c r="L32" t="s">
        <v>78</v>
      </c>
      <c r="M32" t="s">
        <v>78</v>
      </c>
      <c r="N32" t="s">
        <v>124</v>
      </c>
      <c r="O32" t="s">
        <v>80</v>
      </c>
      <c r="T32">
        <v>0</v>
      </c>
      <c r="U32">
        <v>15</v>
      </c>
      <c r="V32">
        <v>15</v>
      </c>
      <c r="W32">
        <v>11</v>
      </c>
      <c r="X32">
        <v>118.04746119999599</v>
      </c>
      <c r="AF32">
        <v>118.030414399996</v>
      </c>
      <c r="AG32">
        <v>118.04746119999599</v>
      </c>
      <c r="AH32">
        <v>118.04746119999599</v>
      </c>
      <c r="AI32">
        <v>118.04746119999599</v>
      </c>
      <c r="AJ32">
        <v>4.40380000509321E-3</v>
      </c>
      <c r="AK32">
        <v>125.277054899997</v>
      </c>
      <c r="AL32" t="s">
        <v>60</v>
      </c>
      <c r="AM32" t="s">
        <v>120</v>
      </c>
      <c r="AN32" t="s">
        <v>121</v>
      </c>
      <c r="AO32" t="s">
        <v>77</v>
      </c>
      <c r="AP32" t="s">
        <v>78</v>
      </c>
      <c r="AQ32" t="s">
        <v>78</v>
      </c>
      <c r="AR32" t="s">
        <v>124</v>
      </c>
      <c r="AS32" t="s">
        <v>80</v>
      </c>
      <c r="AU32">
        <v>210934</v>
      </c>
      <c r="AV32">
        <v>1</v>
      </c>
      <c r="AW32" t="s">
        <v>55</v>
      </c>
      <c r="AX32" t="s">
        <v>56</v>
      </c>
      <c r="AZ32" t="s">
        <v>57</v>
      </c>
      <c r="BA32">
        <v>59.944168002473702</v>
      </c>
      <c r="BB32" t="s">
        <v>58</v>
      </c>
    </row>
    <row r="33" spans="2:54" x14ac:dyDescent="0.35">
      <c r="B33">
        <v>16</v>
      </c>
      <c r="C33">
        <v>16</v>
      </c>
      <c r="D33">
        <v>0</v>
      </c>
      <c r="F33" s="5">
        <v>1</v>
      </c>
      <c r="G33" s="6" t="s">
        <v>125</v>
      </c>
      <c r="H33" s="6" t="s">
        <v>126</v>
      </c>
      <c r="I33" t="s">
        <v>120</v>
      </c>
      <c r="J33" t="s">
        <v>121</v>
      </c>
      <c r="K33" t="s">
        <v>77</v>
      </c>
      <c r="L33" t="s">
        <v>78</v>
      </c>
      <c r="M33" t="s">
        <v>78</v>
      </c>
      <c r="N33" t="s">
        <v>127</v>
      </c>
      <c r="O33" t="s">
        <v>80</v>
      </c>
      <c r="T33">
        <v>0</v>
      </c>
      <c r="U33">
        <v>16</v>
      </c>
      <c r="V33">
        <v>16</v>
      </c>
      <c r="W33">
        <v>17</v>
      </c>
      <c r="X33">
        <v>125.300965399997</v>
      </c>
      <c r="AF33">
        <v>125.28444689999699</v>
      </c>
      <c r="AG33">
        <v>125.300965399997</v>
      </c>
      <c r="AH33">
        <v>125.300965399997</v>
      </c>
      <c r="AI33">
        <v>125.300965399997</v>
      </c>
      <c r="AJ33">
        <v>7.2156999958679002E-3</v>
      </c>
      <c r="AK33">
        <v>130.8273835</v>
      </c>
      <c r="AL33" t="s">
        <v>126</v>
      </c>
      <c r="AM33" t="s">
        <v>120</v>
      </c>
      <c r="AN33" t="s">
        <v>121</v>
      </c>
      <c r="AO33" t="s">
        <v>77</v>
      </c>
      <c r="AP33" t="s">
        <v>78</v>
      </c>
      <c r="AQ33" t="s">
        <v>78</v>
      </c>
      <c r="AR33" t="s">
        <v>127</v>
      </c>
      <c r="AS33" t="s">
        <v>80</v>
      </c>
      <c r="AU33">
        <v>210934</v>
      </c>
      <c r="AV33">
        <v>1</v>
      </c>
      <c r="AW33" t="s">
        <v>55</v>
      </c>
      <c r="AX33" t="s">
        <v>56</v>
      </c>
      <c r="AZ33" t="s">
        <v>57</v>
      </c>
      <c r="BA33">
        <v>59.944168002473702</v>
      </c>
      <c r="BB33" t="s">
        <v>58</v>
      </c>
    </row>
    <row r="34" spans="2:54" ht="29" x14ac:dyDescent="0.35">
      <c r="B34">
        <v>17</v>
      </c>
      <c r="C34">
        <v>17</v>
      </c>
      <c r="D34">
        <v>0</v>
      </c>
      <c r="F34" s="2">
        <v>1</v>
      </c>
      <c r="G34" t="s">
        <v>128</v>
      </c>
      <c r="H34" s="1" t="s">
        <v>129</v>
      </c>
      <c r="I34" t="s">
        <v>130</v>
      </c>
      <c r="J34" t="s">
        <v>131</v>
      </c>
      <c r="K34" t="s">
        <v>77</v>
      </c>
      <c r="L34" t="s">
        <v>78</v>
      </c>
      <c r="M34" t="s">
        <v>78</v>
      </c>
      <c r="N34" t="s">
        <v>132</v>
      </c>
      <c r="O34" t="s">
        <v>80</v>
      </c>
      <c r="T34">
        <v>0</v>
      </c>
      <c r="U34">
        <v>17</v>
      </c>
      <c r="V34">
        <v>17</v>
      </c>
      <c r="W34">
        <v>7</v>
      </c>
      <c r="X34">
        <v>130.847215000001</v>
      </c>
      <c r="AF34">
        <v>130.831818799997</v>
      </c>
      <c r="AG34">
        <v>130.847215000001</v>
      </c>
      <c r="AH34">
        <v>130.847215000001</v>
      </c>
      <c r="AI34">
        <v>130.847215000001</v>
      </c>
      <c r="AJ34">
        <v>4.2547999983071298E-3</v>
      </c>
      <c r="AK34">
        <v>137.67749079999999</v>
      </c>
      <c r="AL34" s="1" t="s">
        <v>129</v>
      </c>
      <c r="AM34" t="s">
        <v>130</v>
      </c>
      <c r="AN34" t="s">
        <v>131</v>
      </c>
      <c r="AO34" t="s">
        <v>77</v>
      </c>
      <c r="AP34" t="s">
        <v>78</v>
      </c>
      <c r="AQ34" t="s">
        <v>78</v>
      </c>
      <c r="AR34" t="s">
        <v>132</v>
      </c>
      <c r="AS34" t="s">
        <v>80</v>
      </c>
      <c r="AU34">
        <v>210934</v>
      </c>
      <c r="AV34">
        <v>1</v>
      </c>
      <c r="AW34" t="s">
        <v>55</v>
      </c>
      <c r="AX34" t="s">
        <v>56</v>
      </c>
      <c r="AZ34" t="s">
        <v>57</v>
      </c>
      <c r="BA34">
        <v>59.944168002473702</v>
      </c>
      <c r="BB34" t="s">
        <v>58</v>
      </c>
    </row>
    <row r="35" spans="2:54" x14ac:dyDescent="0.35">
      <c r="B35">
        <v>18</v>
      </c>
      <c r="C35">
        <v>18</v>
      </c>
      <c r="D35">
        <v>0</v>
      </c>
      <c r="F35" s="5">
        <v>1</v>
      </c>
      <c r="G35" s="6" t="s">
        <v>133</v>
      </c>
      <c r="H35" s="6" t="s">
        <v>134</v>
      </c>
      <c r="I35" t="s">
        <v>130</v>
      </c>
      <c r="J35" t="s">
        <v>131</v>
      </c>
      <c r="K35" t="s">
        <v>77</v>
      </c>
      <c r="L35" t="s">
        <v>78</v>
      </c>
      <c r="M35" t="s">
        <v>78</v>
      </c>
      <c r="N35" t="s">
        <v>135</v>
      </c>
      <c r="O35" t="s">
        <v>80</v>
      </c>
      <c r="T35">
        <v>0</v>
      </c>
      <c r="U35">
        <v>18</v>
      </c>
      <c r="V35">
        <v>18</v>
      </c>
      <c r="W35">
        <v>18</v>
      </c>
      <c r="X35">
        <v>137.699520000001</v>
      </c>
      <c r="AF35">
        <v>137.681997899999</v>
      </c>
      <c r="AG35">
        <v>137.699520000001</v>
      </c>
      <c r="AH35">
        <v>137.699520000001</v>
      </c>
      <c r="AI35">
        <v>137.699520000001</v>
      </c>
      <c r="AJ35">
        <v>4.3078000016976096E-3</v>
      </c>
      <c r="AK35">
        <v>140.49251430000001</v>
      </c>
      <c r="AL35" t="s">
        <v>134</v>
      </c>
      <c r="AM35" t="s">
        <v>130</v>
      </c>
      <c r="AN35" t="s">
        <v>131</v>
      </c>
      <c r="AO35" t="s">
        <v>77</v>
      </c>
      <c r="AP35" t="s">
        <v>78</v>
      </c>
      <c r="AQ35" t="s">
        <v>78</v>
      </c>
      <c r="AR35" t="s">
        <v>135</v>
      </c>
      <c r="AS35" t="s">
        <v>80</v>
      </c>
      <c r="AU35">
        <v>210934</v>
      </c>
      <c r="AV35">
        <v>1</v>
      </c>
      <c r="AW35" t="s">
        <v>55</v>
      </c>
      <c r="AX35" t="s">
        <v>56</v>
      </c>
      <c r="AZ35" t="s">
        <v>57</v>
      </c>
      <c r="BA35">
        <v>59.944168002473702</v>
      </c>
      <c r="BB35" t="s">
        <v>58</v>
      </c>
    </row>
    <row r="36" spans="2:54" x14ac:dyDescent="0.35">
      <c r="B36">
        <v>19</v>
      </c>
      <c r="C36">
        <v>19</v>
      </c>
      <c r="D36">
        <v>0</v>
      </c>
      <c r="F36" s="2">
        <v>1</v>
      </c>
      <c r="G36" t="s">
        <v>136</v>
      </c>
      <c r="H36" t="s">
        <v>137</v>
      </c>
      <c r="I36" t="s">
        <v>130</v>
      </c>
      <c r="J36" t="s">
        <v>131</v>
      </c>
      <c r="K36" t="s">
        <v>77</v>
      </c>
      <c r="L36" t="s">
        <v>78</v>
      </c>
      <c r="M36" t="s">
        <v>78</v>
      </c>
      <c r="N36" t="s">
        <v>138</v>
      </c>
      <c r="O36" t="s">
        <v>80</v>
      </c>
      <c r="T36">
        <v>0</v>
      </c>
      <c r="U36">
        <v>19</v>
      </c>
      <c r="V36">
        <v>19</v>
      </c>
      <c r="W36">
        <v>2</v>
      </c>
      <c r="X36">
        <v>140.513804499998</v>
      </c>
      <c r="AF36">
        <v>140.49736539999799</v>
      </c>
      <c r="AG36">
        <v>140.513804499998</v>
      </c>
      <c r="AH36">
        <v>140.513804499998</v>
      </c>
      <c r="AI36">
        <v>140.513804499998</v>
      </c>
      <c r="AJ36">
        <v>4.6431000009761096E-3</v>
      </c>
      <c r="AK36">
        <v>143.0441155</v>
      </c>
      <c r="AL36" t="s">
        <v>137</v>
      </c>
      <c r="AM36" t="s">
        <v>130</v>
      </c>
      <c r="AN36" t="s">
        <v>131</v>
      </c>
      <c r="AO36" t="s">
        <v>77</v>
      </c>
      <c r="AP36" t="s">
        <v>78</v>
      </c>
      <c r="AQ36" t="s">
        <v>78</v>
      </c>
      <c r="AR36" t="s">
        <v>138</v>
      </c>
      <c r="AS36" t="s">
        <v>80</v>
      </c>
      <c r="AU36">
        <v>210934</v>
      </c>
      <c r="AV36">
        <v>1</v>
      </c>
      <c r="AW36" t="s">
        <v>55</v>
      </c>
      <c r="AX36" t="s">
        <v>56</v>
      </c>
      <c r="AZ36" t="s">
        <v>57</v>
      </c>
      <c r="BA36">
        <v>59.944168002473702</v>
      </c>
      <c r="BB36" t="s">
        <v>58</v>
      </c>
    </row>
    <row r="39" spans="2:54" x14ac:dyDescent="0.35">
      <c r="E39" t="s">
        <v>245</v>
      </c>
      <c r="F39">
        <v>10</v>
      </c>
    </row>
    <row r="40" spans="2:54" x14ac:dyDescent="0.35">
      <c r="E40" t="s">
        <v>248</v>
      </c>
      <c r="F40">
        <v>15</v>
      </c>
    </row>
    <row r="41" spans="2:54" x14ac:dyDescent="0.35">
      <c r="E41" t="s">
        <v>250</v>
      </c>
      <c r="F41">
        <f>F39/F40</f>
        <v>0.66666666666666663</v>
      </c>
    </row>
    <row r="43" spans="2:54" x14ac:dyDescent="0.35">
      <c r="E43" t="s">
        <v>246</v>
      </c>
      <c r="F43">
        <v>4</v>
      </c>
    </row>
    <row r="44" spans="2:54" x14ac:dyDescent="0.35">
      <c r="E44" t="s">
        <v>247</v>
      </c>
      <c r="F44">
        <v>5</v>
      </c>
    </row>
    <row r="45" spans="2:54" x14ac:dyDescent="0.35">
      <c r="E45" t="s">
        <v>249</v>
      </c>
      <c r="F45">
        <f>F43/F44</f>
        <v>0.8</v>
      </c>
    </row>
    <row r="47" spans="2:54" x14ac:dyDescent="0.35">
      <c r="E47" t="s">
        <v>251</v>
      </c>
      <c r="F47">
        <f>F41-F45</f>
        <v>-0.13333333333333341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participant 1</vt:lpstr>
      <vt:lpstr>participant 2</vt:lpstr>
      <vt:lpstr>participant 3</vt:lpstr>
      <vt:lpstr>participant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 Mehta</dc:creator>
  <cp:lastModifiedBy>Preet Mehta</cp:lastModifiedBy>
  <dcterms:created xsi:type="dcterms:W3CDTF">2025-11-02T14:34:36Z</dcterms:created>
  <dcterms:modified xsi:type="dcterms:W3CDTF">2025-11-03T12:02:59Z</dcterms:modified>
</cp:coreProperties>
</file>